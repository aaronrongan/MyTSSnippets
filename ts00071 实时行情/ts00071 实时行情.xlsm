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MyMobileBooks_800_Reading\MyTSSnippets\"/>
    </mc:Choice>
  </mc:AlternateContent>
  <bookViews>
    <workbookView xWindow="2550" yWindow="0" windowWidth="26993" windowHeight="13028" activeTab="1"/>
  </bookViews>
  <sheets>
    <sheet name="股票" sheetId="1" r:id="rId1"/>
    <sheet name="指数" sheetId="4" r:id="rId2"/>
    <sheet name="说明" sheetId="2" r:id="rId3"/>
  </sheets>
  <calcPr calcId="162913"/>
</workbook>
</file>

<file path=xl/calcChain.xml><?xml version="1.0" encoding="utf-8"?>
<calcChain xmlns="http://schemas.openxmlformats.org/spreadsheetml/2006/main">
  <c r="Q17" i="1" l="1"/>
  <c r="Q19" i="1"/>
  <c r="M21" i="1"/>
  <c r="S8" i="1"/>
  <c r="Q8" i="1"/>
  <c r="S9" i="1"/>
  <c r="Q9" i="1"/>
  <c r="Q12" i="1"/>
  <c r="Q11" i="1"/>
</calcChain>
</file>

<file path=xl/sharedStrings.xml><?xml version="1.0" encoding="utf-8"?>
<sst xmlns="http://schemas.openxmlformats.org/spreadsheetml/2006/main" count="118" uniqueCount="97">
  <si>
    <t>股票</t>
    <phoneticPr fontId="1" type="noConversion"/>
  </si>
  <si>
    <t>代码</t>
    <phoneticPr fontId="1" type="noConversion"/>
  </si>
  <si>
    <t>sh000001</t>
    <phoneticPr fontId="1" type="noConversion"/>
  </si>
  <si>
    <t>sz399001</t>
    <phoneticPr fontId="1" type="noConversion"/>
  </si>
  <si>
    <t>成交量（万手）</t>
    <phoneticPr fontId="1" type="noConversion"/>
  </si>
  <si>
    <t>成交额（万元）</t>
    <phoneticPr fontId="1" type="noConversion"/>
  </si>
  <si>
    <t xml:space="preserve">现价 </t>
    <phoneticPr fontId="1" type="noConversion"/>
  </si>
  <si>
    <t xml:space="preserve">今开 </t>
    <phoneticPr fontId="1" type="noConversion"/>
  </si>
  <si>
    <t xml:space="preserve">昨收 </t>
    <phoneticPr fontId="1" type="noConversion"/>
  </si>
  <si>
    <t xml:space="preserve">最高 </t>
    <phoneticPr fontId="1" type="noConversion"/>
  </si>
  <si>
    <t xml:space="preserve">最低 </t>
    <phoneticPr fontId="1" type="noConversion"/>
  </si>
  <si>
    <t>sz002271</t>
    <phoneticPr fontId="1" type="noConversion"/>
  </si>
  <si>
    <t>sh600606</t>
    <phoneticPr fontId="1" type="noConversion"/>
  </si>
  <si>
    <t>sz002304</t>
    <phoneticPr fontId="1" type="noConversion"/>
  </si>
  <si>
    <t>sz000581</t>
    <phoneticPr fontId="1" type="noConversion"/>
  </si>
  <si>
    <t>sz000157</t>
    <phoneticPr fontId="1" type="noConversion"/>
  </si>
  <si>
    <t>sz002121</t>
    <phoneticPr fontId="1" type="noConversion"/>
  </si>
  <si>
    <t>sz000732</t>
    <phoneticPr fontId="1" type="noConversion"/>
  </si>
  <si>
    <t>sh601166</t>
    <phoneticPr fontId="1" type="noConversion"/>
  </si>
  <si>
    <t>sh600886</t>
    <phoneticPr fontId="1" type="noConversion"/>
  </si>
  <si>
    <t>sh600674</t>
    <phoneticPr fontId="1" type="noConversion"/>
  </si>
  <si>
    <t>sz300383</t>
    <phoneticPr fontId="1" type="noConversion"/>
  </si>
  <si>
    <t>sz002032</t>
    <phoneticPr fontId="1" type="noConversion"/>
  </si>
  <si>
    <t>sz399006</t>
    <phoneticPr fontId="1" type="noConversion"/>
  </si>
  <si>
    <t>sz162415</t>
    <phoneticPr fontId="1" type="noConversion"/>
  </si>
  <si>
    <t>http://xinyo.org/archives/65484/</t>
    <phoneticPr fontId="1" type="noConversion"/>
  </si>
  <si>
    <t xml:space="preserve">涨跌幅% </t>
    <phoneticPr fontId="1" type="noConversion"/>
  </si>
  <si>
    <t>sh600487</t>
    <phoneticPr fontId="1" type="noConversion"/>
  </si>
  <si>
    <t>sz300001</t>
    <phoneticPr fontId="1" type="noConversion"/>
  </si>
  <si>
    <t>sz002573</t>
    <phoneticPr fontId="1" type="noConversion"/>
  </si>
  <si>
    <t>sz300296</t>
    <phoneticPr fontId="1" type="noConversion"/>
  </si>
  <si>
    <t>sh600398</t>
    <phoneticPr fontId="1" type="noConversion"/>
  </si>
  <si>
    <t>sz000826</t>
    <phoneticPr fontId="1" type="noConversion"/>
  </si>
  <si>
    <t>sz002450</t>
    <phoneticPr fontId="1" type="noConversion"/>
  </si>
  <si>
    <t>sh603868</t>
    <phoneticPr fontId="1" type="noConversion"/>
  </si>
  <si>
    <t>sh600315</t>
    <phoneticPr fontId="1" type="noConversion"/>
  </si>
  <si>
    <t>sz159915</t>
    <phoneticPr fontId="1" type="noConversion"/>
  </si>
  <si>
    <t>sh000905</t>
    <phoneticPr fontId="1" type="noConversion"/>
  </si>
  <si>
    <t>sz002294</t>
    <phoneticPr fontId="1" type="noConversion"/>
  </si>
  <si>
    <t>sh513500</t>
    <phoneticPr fontId="1" type="noConversion"/>
  </si>
  <si>
    <t>sh513030</t>
    <phoneticPr fontId="1" type="noConversion"/>
  </si>
  <si>
    <t>sh513100</t>
    <phoneticPr fontId="1" type="noConversion"/>
  </si>
  <si>
    <t>sh510900</t>
    <phoneticPr fontId="1" type="noConversion"/>
  </si>
  <si>
    <t>sz159919</t>
    <phoneticPr fontId="1" type="noConversion"/>
  </si>
  <si>
    <t>sz159920</t>
    <phoneticPr fontId="1" type="noConversion"/>
  </si>
  <si>
    <t>sh510050</t>
    <phoneticPr fontId="1" type="noConversion"/>
  </si>
  <si>
    <t>sz164906</t>
    <phoneticPr fontId="1" type="noConversion"/>
  </si>
  <si>
    <t>sh513050</t>
    <phoneticPr fontId="1" type="noConversion"/>
  </si>
  <si>
    <t>sh600741</t>
    <phoneticPr fontId="1" type="noConversion"/>
  </si>
  <si>
    <t>买入目标位1</t>
    <phoneticPr fontId="1" type="noConversion"/>
  </si>
  <si>
    <t>与目标1相差</t>
    <phoneticPr fontId="1" type="noConversion"/>
  </si>
  <si>
    <t>卖出目标1位</t>
    <phoneticPr fontId="1" type="noConversion"/>
  </si>
  <si>
    <t>卖出目标2位</t>
    <phoneticPr fontId="1" type="noConversion"/>
  </si>
  <si>
    <t>与目标2相差</t>
    <phoneticPr fontId="1" type="noConversion"/>
  </si>
  <si>
    <t>买入目标2</t>
    <phoneticPr fontId="1" type="noConversion"/>
  </si>
  <si>
    <t>与目标2相差</t>
    <phoneticPr fontId="1" type="noConversion"/>
  </si>
  <si>
    <t>停牌</t>
  </si>
  <si>
    <t>上海家化</t>
  </si>
  <si>
    <t>海澜之家</t>
  </si>
  <si>
    <t>亨通光电</t>
  </si>
  <si>
    <t>绿地控股</t>
  </si>
  <si>
    <t>川投能源</t>
  </si>
  <si>
    <t>华域汽车</t>
  </si>
  <si>
    <t>国投电力</t>
  </si>
  <si>
    <t>兴业银行</t>
  </si>
  <si>
    <t>飞科电器</t>
  </si>
  <si>
    <t>中联重科</t>
  </si>
  <si>
    <t>威孚高科</t>
  </si>
  <si>
    <t>泰禾集团</t>
  </si>
  <si>
    <t>启迪环境</t>
  </si>
  <si>
    <t>苏 泊 尔</t>
  </si>
  <si>
    <t>科陆电子</t>
  </si>
  <si>
    <t>东方雨虹</t>
  </si>
  <si>
    <t>信立泰</t>
  </si>
  <si>
    <t>洋河股份</t>
  </si>
  <si>
    <t>*ST康得</t>
  </si>
  <si>
    <t>清新环境</t>
  </si>
  <si>
    <t>特锐德</t>
  </si>
  <si>
    <t>利亚德</t>
  </si>
  <si>
    <t>光环新网</t>
  </si>
  <si>
    <t>上证指数</t>
  </si>
  <si>
    <t>深证成指</t>
  </si>
  <si>
    <t>创业板</t>
  </si>
  <si>
    <t>中证500</t>
  </si>
  <si>
    <t>标普500</t>
  </si>
  <si>
    <t>德国30</t>
  </si>
  <si>
    <t>纳指ETF</t>
  </si>
  <si>
    <t>H股ETF</t>
  </si>
  <si>
    <t>300ETF</t>
  </si>
  <si>
    <t>恒生ETF</t>
  </si>
  <si>
    <t>50ETF</t>
  </si>
  <si>
    <t>中国互联</t>
  </si>
  <si>
    <t>中概互联</t>
  </si>
  <si>
    <t>美国消费</t>
  </si>
  <si>
    <t>创业板指</t>
  </si>
  <si>
    <t>沪深300</t>
  </si>
  <si>
    <t>sh000300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</si>
</sst>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_ "/>
    <numFmt numFmtId="165" formatCode="0.0%"/>
  </numFmts>
  <fonts count="6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宋体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0" fontId="4" fillId="0" borderId="0" xfId="2"/>
    <xf numFmtId="10" fontId="2" fillId="0" borderId="1" xfId="1" applyNumberFormat="1" applyFont="1" applyBorder="1" applyAlignment="1">
      <alignment horizontal="right"/>
    </xf>
    <xf numFmtId="10" fontId="0" fillId="0" borderId="1" xfId="1" applyNumberFormat="1" applyFont="1" applyBorder="1" applyAlignment="1">
      <alignment horizontal="right"/>
    </xf>
    <xf numFmtId="10" fontId="0" fillId="0" borderId="0" xfId="1" applyNumberFormat="1" applyFont="1" applyAlignment="1">
      <alignment horizontal="center"/>
    </xf>
    <xf numFmtId="0" fontId="0" fillId="0" borderId="1" xfId="0" applyBorder="1" applyAlignment="1">
      <alignment horizontal="center" wrapText="1"/>
    </xf>
    <xf numFmtId="165" fontId="2" fillId="0" borderId="1" xfId="1" applyNumberFormat="1" applyFon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8"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195263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195263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xinyo.org/archives/65484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44"/>
  <sheetViews>
    <sheetView zoomScaleNormal="100" workbookViewId="0">
      <pane ySplit="1" topLeftCell="A2" activePane="bottomLeft" state="frozen"/>
      <selection activeCell="G5" sqref="G5"/>
      <selection pane="bottomLeft" activeCell="J30" sqref="J30"/>
    </sheetView>
  </sheetViews>
  <sheetFormatPr defaultColWidth="9" defaultRowHeight="14.25"/>
  <cols>
    <col min="1" max="2" width="9" style="1"/>
    <col min="3" max="3" width="12" style="1" customWidth="1"/>
    <col min="4" max="4" width="10.46484375" style="10" bestFit="1" customWidth="1"/>
    <col min="5" max="9" width="10.9296875" style="1" customWidth="1"/>
    <col min="10" max="10" width="14.46484375" style="1" customWidth="1"/>
    <col min="11" max="11" width="14.59765625" style="1" customWidth="1"/>
    <col min="12" max="12" width="13.06640625" style="1" bestFit="1" customWidth="1"/>
    <col min="13" max="13" width="11.9296875" style="14" bestFit="1" customWidth="1"/>
    <col min="14" max="15" width="11.9296875" style="14" customWidth="1"/>
    <col min="16" max="16" width="11" style="1" bestFit="1" customWidth="1"/>
    <col min="17" max="17" width="11.9296875" style="14" bestFit="1" customWidth="1"/>
    <col min="18" max="18" width="13.06640625" style="1" bestFit="1" customWidth="1"/>
    <col min="19" max="19" width="11.9296875" style="14" bestFit="1" customWidth="1"/>
    <col min="20" max="16384" width="9" style="1"/>
  </cols>
  <sheetData>
    <row r="1" spans="2:19" ht="17.25" customHeight="1">
      <c r="B1" s="2" t="s">
        <v>1</v>
      </c>
      <c r="C1" s="2" t="s">
        <v>0</v>
      </c>
      <c r="D1" s="8" t="s">
        <v>26</v>
      </c>
      <c r="E1" s="15" t="s">
        <v>6</v>
      </c>
      <c r="F1" s="15" t="s">
        <v>7</v>
      </c>
      <c r="G1" s="15" t="s">
        <v>8</v>
      </c>
      <c r="H1" s="15" t="s">
        <v>9</v>
      </c>
      <c r="I1" s="15" t="s">
        <v>10</v>
      </c>
      <c r="J1" s="15" t="s">
        <v>4</v>
      </c>
      <c r="K1" s="15" t="s">
        <v>5</v>
      </c>
      <c r="L1" s="4" t="s">
        <v>49</v>
      </c>
      <c r="M1" s="12" t="s">
        <v>50</v>
      </c>
      <c r="N1" s="4" t="s">
        <v>54</v>
      </c>
      <c r="O1" s="12" t="s">
        <v>53</v>
      </c>
      <c r="P1" s="2" t="s">
        <v>51</v>
      </c>
      <c r="Q1" s="12" t="s">
        <v>50</v>
      </c>
      <c r="R1" s="2" t="s">
        <v>52</v>
      </c>
      <c r="S1" s="12" t="s">
        <v>55</v>
      </c>
    </row>
    <row r="2" spans="2:19" ht="16.5" customHeight="1">
      <c r="B2" s="5" t="s">
        <v>35</v>
      </c>
      <c r="C2" s="5" t="s">
        <v>57</v>
      </c>
      <c r="D2" s="9">
        <v>-3.8999999999999998E-3</v>
      </c>
      <c r="E2" s="5">
        <v>30.78</v>
      </c>
      <c r="F2" s="5">
        <v>30.89</v>
      </c>
      <c r="G2" s="5">
        <v>30.9</v>
      </c>
      <c r="H2" s="5">
        <v>31.09</v>
      </c>
      <c r="I2" s="5">
        <v>30.55</v>
      </c>
      <c r="J2" s="5">
        <v>2.3040250000000002</v>
      </c>
      <c r="K2" s="5">
        <v>7086.5208000000002</v>
      </c>
      <c r="L2" s="5"/>
      <c r="M2" s="13"/>
      <c r="N2" s="13"/>
      <c r="O2" s="13"/>
      <c r="P2" s="5"/>
      <c r="Q2" s="13"/>
      <c r="R2" s="5"/>
      <c r="S2" s="13"/>
    </row>
    <row r="3" spans="2:19" ht="16.5" customHeight="1">
      <c r="B3" s="5" t="s">
        <v>31</v>
      </c>
      <c r="C3" s="5" t="s">
        <v>58</v>
      </c>
      <c r="D3" s="9">
        <v>0</v>
      </c>
      <c r="E3" s="5">
        <v>7.75</v>
      </c>
      <c r="F3" s="5">
        <v>7.76</v>
      </c>
      <c r="G3" s="5">
        <v>7.75</v>
      </c>
      <c r="H3" s="5">
        <v>7.79</v>
      </c>
      <c r="I3" s="5">
        <v>7.65</v>
      </c>
      <c r="J3" s="5">
        <v>6.1035159999999999</v>
      </c>
      <c r="K3" s="5">
        <v>4711.0057999999999</v>
      </c>
      <c r="L3" s="5"/>
      <c r="M3" s="13"/>
      <c r="N3" s="13"/>
      <c r="O3" s="13"/>
      <c r="P3" s="5"/>
      <c r="Q3" s="13"/>
      <c r="R3" s="5"/>
      <c r="S3" s="13"/>
    </row>
    <row r="4" spans="2:19">
      <c r="B4" s="5" t="s">
        <v>27</v>
      </c>
      <c r="C4" s="5" t="s">
        <v>59</v>
      </c>
      <c r="D4" s="9">
        <v>-1.03E-2</v>
      </c>
      <c r="E4" s="5">
        <v>15.34</v>
      </c>
      <c r="F4" s="5">
        <v>15.43</v>
      </c>
      <c r="G4" s="5">
        <v>15.5</v>
      </c>
      <c r="H4" s="5">
        <v>15.68</v>
      </c>
      <c r="I4" s="5">
        <v>15.2</v>
      </c>
      <c r="J4" s="5">
        <v>16.514187</v>
      </c>
      <c r="K4" s="5">
        <v>25456.044900000001</v>
      </c>
      <c r="L4" s="5"/>
      <c r="M4" s="13"/>
      <c r="N4" s="13"/>
      <c r="O4" s="13"/>
      <c r="P4" s="5"/>
      <c r="Q4" s="13"/>
      <c r="R4" s="5"/>
      <c r="S4" s="13"/>
    </row>
    <row r="5" spans="2:19">
      <c r="B5" s="5" t="s">
        <v>12</v>
      </c>
      <c r="C5" s="5" t="s">
        <v>60</v>
      </c>
      <c r="D5" s="9">
        <v>1.9900000000000001E-2</v>
      </c>
      <c r="E5" s="16">
        <v>6.66</v>
      </c>
      <c r="F5" s="5">
        <v>6.53</v>
      </c>
      <c r="G5" s="5">
        <v>6.53</v>
      </c>
      <c r="H5" s="5">
        <v>6.71</v>
      </c>
      <c r="I5" s="5">
        <v>6.53</v>
      </c>
      <c r="J5" s="5">
        <v>28.358308000000001</v>
      </c>
      <c r="K5" s="5">
        <v>18843.754000000001</v>
      </c>
      <c r="L5" s="5"/>
      <c r="M5" s="13"/>
      <c r="N5" s="13"/>
      <c r="O5" s="13"/>
      <c r="P5" s="5"/>
      <c r="Q5" s="13"/>
      <c r="R5" s="5"/>
      <c r="S5" s="13"/>
    </row>
    <row r="6" spans="2:19">
      <c r="B6" s="5" t="s">
        <v>20</v>
      </c>
      <c r="C6" s="5" t="s">
        <v>61</v>
      </c>
      <c r="D6" s="9">
        <v>1.2800000000000001E-2</v>
      </c>
      <c r="E6" s="16">
        <v>9.52</v>
      </c>
      <c r="F6" s="16">
        <v>9.4</v>
      </c>
      <c r="G6" s="16">
        <v>9.4</v>
      </c>
      <c r="H6" s="16">
        <v>9.5299999999999994</v>
      </c>
      <c r="I6" s="16">
        <v>9.3699999999999992</v>
      </c>
      <c r="J6" s="16">
        <v>5.2634619999999996</v>
      </c>
      <c r="K6" s="16">
        <v>4984.6846999999998</v>
      </c>
      <c r="L6" s="5"/>
      <c r="M6" s="13"/>
      <c r="N6" s="13"/>
      <c r="O6" s="13"/>
      <c r="P6" s="5"/>
      <c r="Q6" s="13"/>
      <c r="R6" s="5"/>
      <c r="S6" s="13"/>
    </row>
    <row r="7" spans="2:19">
      <c r="B7" s="5" t="s">
        <v>48</v>
      </c>
      <c r="C7" s="5" t="s">
        <v>62</v>
      </c>
      <c r="D7" s="9">
        <v>1.66E-2</v>
      </c>
      <c r="E7" s="5">
        <v>26.31</v>
      </c>
      <c r="F7" s="5">
        <v>25.88</v>
      </c>
      <c r="G7" s="5">
        <v>25.88</v>
      </c>
      <c r="H7" s="5">
        <v>26.48</v>
      </c>
      <c r="I7" s="5">
        <v>25.88</v>
      </c>
      <c r="J7" s="5">
        <v>10.593232</v>
      </c>
      <c r="K7" s="5">
        <v>27865.218499999999</v>
      </c>
      <c r="L7" s="5"/>
      <c r="M7" s="13"/>
      <c r="N7" s="13"/>
      <c r="O7" s="13"/>
      <c r="P7" s="5"/>
      <c r="Q7" s="13"/>
      <c r="R7" s="5"/>
      <c r="S7" s="13"/>
    </row>
    <row r="8" spans="2:19">
      <c r="B8" s="5" t="s">
        <v>19</v>
      </c>
      <c r="C8" s="5" t="s">
        <v>63</v>
      </c>
      <c r="D8" s="9">
        <v>1.66E-2</v>
      </c>
      <c r="E8" s="16">
        <v>8.57</v>
      </c>
      <c r="F8" s="16">
        <v>8.44</v>
      </c>
      <c r="G8" s="16">
        <v>8.43</v>
      </c>
      <c r="H8" s="16">
        <v>8.6</v>
      </c>
      <c r="I8" s="16">
        <v>8.3699999999999992</v>
      </c>
      <c r="J8" s="16">
        <v>21.866598</v>
      </c>
      <c r="K8" s="16">
        <v>18579.462899999999</v>
      </c>
      <c r="L8" s="5"/>
      <c r="M8" s="13"/>
      <c r="N8" s="13"/>
      <c r="O8" s="13"/>
      <c r="P8" s="5">
        <v>7.5</v>
      </c>
      <c r="Q8" s="13">
        <f>(E8-P8)/P8</f>
        <v>0.14266666666666669</v>
      </c>
      <c r="R8" s="5">
        <v>7.8</v>
      </c>
      <c r="S8" s="13">
        <f>(E8-R8)/R8</f>
        <v>9.8717948717948784E-2</v>
      </c>
    </row>
    <row r="9" spans="2:19">
      <c r="B9" s="5" t="s">
        <v>18</v>
      </c>
      <c r="C9" s="5" t="s">
        <v>64</v>
      </c>
      <c r="D9" s="9">
        <v>1.26E-2</v>
      </c>
      <c r="E9" s="16">
        <v>19.309999999999999</v>
      </c>
      <c r="F9" s="5">
        <v>19.2</v>
      </c>
      <c r="G9" s="5">
        <v>19.07</v>
      </c>
      <c r="H9" s="5">
        <v>19.37</v>
      </c>
      <c r="I9" s="5">
        <v>19.13</v>
      </c>
      <c r="J9" s="5">
        <v>38.490625999999999</v>
      </c>
      <c r="K9" s="5">
        <v>74256.075700000001</v>
      </c>
      <c r="L9" s="5"/>
      <c r="M9" s="13"/>
      <c r="N9" s="13"/>
      <c r="O9" s="13"/>
      <c r="P9" s="5">
        <v>19</v>
      </c>
      <c r="Q9" s="13">
        <f>(E9-P9)/P9</f>
        <v>1.6315789473684145E-2</v>
      </c>
      <c r="R9" s="5">
        <v>20</v>
      </c>
      <c r="S9" s="13">
        <f>(E9-R9)/R9</f>
        <v>-3.4500000000000065E-2</v>
      </c>
    </row>
    <row r="10" spans="2:19">
      <c r="B10" s="5" t="s">
        <v>34</v>
      </c>
      <c r="C10" s="5" t="s">
        <v>65</v>
      </c>
      <c r="D10" s="9">
        <v>-3.3E-3</v>
      </c>
      <c r="E10" s="5">
        <v>36.1</v>
      </c>
      <c r="F10" s="5">
        <v>36.22</v>
      </c>
      <c r="G10" s="5">
        <v>36.22</v>
      </c>
      <c r="H10" s="5">
        <v>36.49</v>
      </c>
      <c r="I10" s="5">
        <v>35.68</v>
      </c>
      <c r="J10" s="5">
        <v>0.67951300000000003</v>
      </c>
      <c r="K10" s="5">
        <v>2445.8656999999998</v>
      </c>
      <c r="L10" s="5"/>
      <c r="M10" s="13"/>
      <c r="N10" s="13"/>
      <c r="O10" s="13"/>
      <c r="P10" s="5"/>
      <c r="Q10" s="13"/>
      <c r="R10" s="5"/>
      <c r="S10" s="13"/>
    </row>
    <row r="11" spans="2:19">
      <c r="B11" s="5" t="s">
        <v>15</v>
      </c>
      <c r="C11" s="5" t="s">
        <v>66</v>
      </c>
      <c r="D11" s="9">
        <v>2.87E-2</v>
      </c>
      <c r="E11" s="16">
        <v>6.1</v>
      </c>
      <c r="F11" s="5">
        <v>5.92</v>
      </c>
      <c r="G11" s="5">
        <v>5.93</v>
      </c>
      <c r="H11" s="5">
        <v>6.1</v>
      </c>
      <c r="I11" s="5">
        <v>5.91</v>
      </c>
      <c r="J11" s="5">
        <v>36.502768000000003</v>
      </c>
      <c r="K11" s="5">
        <v>22000.359052</v>
      </c>
      <c r="L11" s="5"/>
      <c r="M11" s="13"/>
      <c r="N11" s="13"/>
      <c r="O11" s="13"/>
      <c r="P11" s="5">
        <v>4.71</v>
      </c>
      <c r="Q11" s="13">
        <f>(E11-P11)/P11</f>
        <v>0.29511677282377913</v>
      </c>
      <c r="R11" s="5"/>
      <c r="S11" s="13"/>
    </row>
    <row r="12" spans="2:19">
      <c r="B12" s="5" t="s">
        <v>14</v>
      </c>
      <c r="C12" s="5" t="s">
        <v>67</v>
      </c>
      <c r="D12" s="9">
        <v>4.0099999999999997E-2</v>
      </c>
      <c r="E12" s="16">
        <v>18.68</v>
      </c>
      <c r="F12" s="5">
        <v>17.91</v>
      </c>
      <c r="G12" s="5">
        <v>17.96</v>
      </c>
      <c r="H12" s="16">
        <v>18.73</v>
      </c>
      <c r="I12" s="5">
        <v>17.809999999999999</v>
      </c>
      <c r="J12" s="16">
        <v>14.795719</v>
      </c>
      <c r="K12" s="5">
        <v>27258.257852999996</v>
      </c>
      <c r="L12" s="5"/>
      <c r="M12" s="13"/>
      <c r="N12" s="13"/>
      <c r="O12" s="13"/>
      <c r="P12" s="5">
        <v>26.1</v>
      </c>
      <c r="Q12" s="13">
        <f>(E12-P12)/P12</f>
        <v>-0.28429118773946366</v>
      </c>
      <c r="R12" s="5"/>
      <c r="S12" s="13"/>
    </row>
    <row r="13" spans="2:19">
      <c r="B13" s="5" t="s">
        <v>17</v>
      </c>
      <c r="C13" s="5" t="s">
        <v>68</v>
      </c>
      <c r="D13" s="9">
        <v>6.6100000000000006E-2</v>
      </c>
      <c r="E13" s="16">
        <v>5.97</v>
      </c>
      <c r="F13" s="5">
        <v>5.6</v>
      </c>
      <c r="G13" s="5">
        <v>5.6</v>
      </c>
      <c r="H13" s="5">
        <v>6.16</v>
      </c>
      <c r="I13" s="5">
        <v>5.6</v>
      </c>
      <c r="J13" s="5">
        <v>68.024013999999994</v>
      </c>
      <c r="K13" s="5">
        <v>40165.775766999999</v>
      </c>
      <c r="L13" s="5"/>
      <c r="M13" s="13"/>
      <c r="N13" s="13"/>
      <c r="O13" s="13"/>
      <c r="P13" s="5"/>
      <c r="Q13" s="13"/>
      <c r="R13" s="5"/>
      <c r="S13" s="13"/>
    </row>
    <row r="14" spans="2:19">
      <c r="B14" s="5" t="s">
        <v>32</v>
      </c>
      <c r="C14" s="5" t="s">
        <v>69</v>
      </c>
      <c r="D14" s="9">
        <v>1.4200000000000001E-2</v>
      </c>
      <c r="E14" s="5">
        <v>8.56</v>
      </c>
      <c r="F14" s="5">
        <v>8.44</v>
      </c>
      <c r="G14" s="5">
        <v>8.44</v>
      </c>
      <c r="H14" s="5">
        <v>8.61</v>
      </c>
      <c r="I14" s="5">
        <v>8.41</v>
      </c>
      <c r="J14" s="5">
        <v>5.4950539999999997</v>
      </c>
      <c r="K14" s="5">
        <v>4681.565098</v>
      </c>
      <c r="L14" s="5"/>
      <c r="M14" s="13"/>
      <c r="N14" s="13"/>
      <c r="O14" s="13"/>
      <c r="P14" s="5"/>
      <c r="Q14" s="13"/>
      <c r="R14" s="5"/>
      <c r="S14" s="13"/>
    </row>
    <row r="15" spans="2:19">
      <c r="B15" s="5" t="s">
        <v>22</v>
      </c>
      <c r="C15" s="5" t="s">
        <v>70</v>
      </c>
      <c r="D15" s="9">
        <v>-1.7299999999999999E-2</v>
      </c>
      <c r="E15" s="16">
        <v>73.14</v>
      </c>
      <c r="F15" s="5">
        <v>74.41</v>
      </c>
      <c r="G15" s="5">
        <v>74.430000000000007</v>
      </c>
      <c r="H15" s="5">
        <v>75.33</v>
      </c>
      <c r="I15" s="5">
        <v>72.73</v>
      </c>
      <c r="J15" s="5">
        <v>1.636163</v>
      </c>
      <c r="K15" s="5">
        <v>11977.264938</v>
      </c>
      <c r="L15" s="5"/>
      <c r="M15" s="13"/>
      <c r="N15" s="13"/>
      <c r="O15" s="13"/>
      <c r="P15" s="5"/>
      <c r="Q15" s="13"/>
      <c r="R15" s="5"/>
      <c r="S15" s="13"/>
    </row>
    <row r="16" spans="2:19">
      <c r="B16" s="5" t="s">
        <v>16</v>
      </c>
      <c r="C16" s="5" t="s">
        <v>71</v>
      </c>
      <c r="D16" s="9">
        <v>-4.7999999999999996E-3</v>
      </c>
      <c r="E16" s="16">
        <v>4.12</v>
      </c>
      <c r="F16" s="5">
        <v>4.1500000000000004</v>
      </c>
      <c r="G16" s="5">
        <v>4.1399999999999997</v>
      </c>
      <c r="H16" s="5">
        <v>4.16</v>
      </c>
      <c r="I16" s="5">
        <v>4.08</v>
      </c>
      <c r="J16" s="5">
        <v>3.4516429999999998</v>
      </c>
      <c r="K16" s="5">
        <v>1420.7652230000001</v>
      </c>
      <c r="L16" s="5"/>
      <c r="M16" s="13"/>
      <c r="N16" s="13"/>
      <c r="O16" s="13"/>
      <c r="P16" s="5"/>
      <c r="Q16" s="13"/>
      <c r="R16" s="5"/>
      <c r="S16" s="13"/>
    </row>
    <row r="17" spans="2:19">
      <c r="B17" s="5" t="s">
        <v>11</v>
      </c>
      <c r="C17" s="5" t="s">
        <v>72</v>
      </c>
      <c r="D17" s="9">
        <v>5.5800000000000002E-2</v>
      </c>
      <c r="E17" s="16">
        <v>25.35</v>
      </c>
      <c r="F17" s="5">
        <v>24.12</v>
      </c>
      <c r="G17" s="5">
        <v>24.01</v>
      </c>
      <c r="H17" s="5">
        <v>25.35</v>
      </c>
      <c r="I17" s="5">
        <v>24.1</v>
      </c>
      <c r="J17" s="5">
        <v>26.289171</v>
      </c>
      <c r="K17" s="5">
        <v>65422.871310000002</v>
      </c>
      <c r="L17" s="5"/>
      <c r="M17" s="13"/>
      <c r="N17" s="13"/>
      <c r="O17" s="13"/>
      <c r="P17" s="5">
        <v>45</v>
      </c>
      <c r="Q17" s="13">
        <f>(E17-P17)/P17</f>
        <v>-0.43666666666666665</v>
      </c>
      <c r="R17" s="5"/>
      <c r="S17" s="13"/>
    </row>
    <row r="18" spans="2:19">
      <c r="B18" s="5" t="s">
        <v>38</v>
      </c>
      <c r="C18" s="11" t="s">
        <v>73</v>
      </c>
      <c r="D18" s="9">
        <v>-1.41E-2</v>
      </c>
      <c r="E18" s="5">
        <v>18.149999999999999</v>
      </c>
      <c r="F18" s="5">
        <v>18.37</v>
      </c>
      <c r="G18" s="5">
        <v>18.41</v>
      </c>
      <c r="H18" s="5">
        <v>18.440000000000001</v>
      </c>
      <c r="I18" s="5">
        <v>17.850000000000001</v>
      </c>
      <c r="J18" s="5">
        <v>5.7708760000000003</v>
      </c>
      <c r="K18" s="5">
        <v>10429.813172</v>
      </c>
      <c r="L18" s="5"/>
      <c r="M18" s="13"/>
      <c r="N18" s="13"/>
      <c r="O18" s="13"/>
      <c r="P18" s="5"/>
      <c r="Q18" s="13"/>
      <c r="R18" s="5"/>
      <c r="S18" s="13"/>
    </row>
    <row r="19" spans="2:19">
      <c r="B19" s="5" t="s">
        <v>13</v>
      </c>
      <c r="C19" s="5" t="s">
        <v>74</v>
      </c>
      <c r="D19" s="9">
        <v>1.3100000000000001E-2</v>
      </c>
      <c r="E19" s="16">
        <v>99.2</v>
      </c>
      <c r="F19" s="5">
        <v>97.51</v>
      </c>
      <c r="G19" s="5">
        <v>97.92</v>
      </c>
      <c r="H19" s="5">
        <v>99.3</v>
      </c>
      <c r="I19" s="5">
        <v>97.14</v>
      </c>
      <c r="J19" s="5">
        <v>3.61287</v>
      </c>
      <c r="K19" s="5">
        <v>35560.343572999998</v>
      </c>
      <c r="L19" s="5"/>
      <c r="M19" s="13"/>
      <c r="N19" s="13"/>
      <c r="O19" s="13"/>
      <c r="P19" s="5">
        <v>150</v>
      </c>
      <c r="Q19" s="13">
        <f>(I19-P19)/P19</f>
        <v>-0.35239999999999999</v>
      </c>
      <c r="R19" s="5"/>
      <c r="S19" s="13"/>
    </row>
    <row r="20" spans="2:19">
      <c r="B20" s="5" t="s">
        <v>33</v>
      </c>
      <c r="C20" s="5" t="s">
        <v>75</v>
      </c>
      <c r="D20" s="9" t="s">
        <v>56</v>
      </c>
      <c r="E20" s="5">
        <v>0</v>
      </c>
      <c r="F20" s="5">
        <v>0</v>
      </c>
      <c r="G20" s="5">
        <v>3.52</v>
      </c>
      <c r="H20" s="5">
        <v>0</v>
      </c>
      <c r="I20" s="5">
        <v>0</v>
      </c>
      <c r="J20" s="5">
        <v>0</v>
      </c>
      <c r="K20" s="5">
        <v>0</v>
      </c>
      <c r="L20" s="5"/>
      <c r="M20" s="13"/>
      <c r="N20" s="13"/>
      <c r="O20" s="13"/>
      <c r="P20" s="5"/>
      <c r="Q20" s="13"/>
      <c r="R20" s="5"/>
      <c r="S20" s="13"/>
    </row>
    <row r="21" spans="2:19">
      <c r="B21" s="5" t="s">
        <v>29</v>
      </c>
      <c r="C21" s="5" t="s">
        <v>76</v>
      </c>
      <c r="D21" s="9">
        <v>4.8999999999999998E-3</v>
      </c>
      <c r="E21" s="5">
        <v>6.16</v>
      </c>
      <c r="F21" s="5">
        <v>6.12</v>
      </c>
      <c r="G21" s="5">
        <v>6.13</v>
      </c>
      <c r="H21" s="5">
        <v>6.18</v>
      </c>
      <c r="I21" s="5">
        <v>6.08</v>
      </c>
      <c r="J21" s="5">
        <v>2.4754580000000002</v>
      </c>
      <c r="K21" s="5">
        <v>1518.8179630000002</v>
      </c>
      <c r="L21" s="5"/>
      <c r="M21" s="13" t="e">
        <f>(E21-L21)/L21</f>
        <v>#DIV/0!</v>
      </c>
      <c r="N21" s="13"/>
      <c r="O21" s="13"/>
      <c r="P21" s="5"/>
      <c r="Q21" s="13"/>
      <c r="R21" s="5"/>
      <c r="S21" s="13"/>
    </row>
    <row r="22" spans="2:19">
      <c r="B22" s="5" t="s">
        <v>28</v>
      </c>
      <c r="C22" s="5" t="s">
        <v>77</v>
      </c>
      <c r="D22" s="9">
        <v>1.6899999999999998E-2</v>
      </c>
      <c r="E22" s="5">
        <v>15.64</v>
      </c>
      <c r="F22" s="5">
        <v>15.5</v>
      </c>
      <c r="G22" s="5">
        <v>15.38</v>
      </c>
      <c r="H22" s="5">
        <v>15.82</v>
      </c>
      <c r="I22" s="5">
        <v>15.24</v>
      </c>
      <c r="J22" s="5">
        <v>4.6449199999999999</v>
      </c>
      <c r="K22" s="5">
        <v>7244.9614510000001</v>
      </c>
      <c r="L22" s="5"/>
      <c r="M22" s="13"/>
      <c r="N22" s="13"/>
      <c r="O22" s="13"/>
      <c r="P22" s="5"/>
      <c r="Q22" s="13"/>
      <c r="R22" s="5"/>
      <c r="S22" s="13"/>
    </row>
    <row r="23" spans="2:19">
      <c r="B23" s="5" t="s">
        <v>30</v>
      </c>
      <c r="C23" s="5" t="s">
        <v>78</v>
      </c>
      <c r="D23" s="9">
        <v>1.5E-3</v>
      </c>
      <c r="E23" s="5">
        <v>6.52</v>
      </c>
      <c r="F23" s="5">
        <v>6.52</v>
      </c>
      <c r="G23" s="5">
        <v>6.51</v>
      </c>
      <c r="H23" s="5">
        <v>6.57</v>
      </c>
      <c r="I23" s="5">
        <v>6.46</v>
      </c>
      <c r="J23" s="5">
        <v>13.561916</v>
      </c>
      <c r="K23" s="5">
        <v>8831.4148110000006</v>
      </c>
      <c r="L23" s="5"/>
      <c r="M23" s="13"/>
      <c r="N23" s="13"/>
      <c r="O23" s="13"/>
      <c r="P23" s="5"/>
      <c r="Q23" s="13"/>
      <c r="R23" s="5"/>
      <c r="S23" s="13"/>
    </row>
    <row r="24" spans="2:19">
      <c r="B24" s="5" t="s">
        <v>21</v>
      </c>
      <c r="C24" s="5" t="s">
        <v>79</v>
      </c>
      <c r="D24" s="9">
        <v>-1.8599999999999998E-2</v>
      </c>
      <c r="E24" s="5">
        <v>18.5</v>
      </c>
      <c r="F24" s="5">
        <v>18.77</v>
      </c>
      <c r="G24" s="5">
        <v>18.850000000000001</v>
      </c>
      <c r="H24" s="5">
        <v>18.829999999999998</v>
      </c>
      <c r="I24" s="5">
        <v>18.100000000000001</v>
      </c>
      <c r="J24" s="5">
        <v>31.952947999999999</v>
      </c>
      <c r="K24" s="5">
        <v>58945.794335000006</v>
      </c>
      <c r="L24" s="5"/>
      <c r="M24" s="13"/>
      <c r="N24" s="13"/>
      <c r="O24" s="13"/>
      <c r="P24" s="5"/>
      <c r="Q24" s="13"/>
      <c r="R24" s="5"/>
      <c r="S24" s="13"/>
    </row>
    <row r="25" spans="2:19">
      <c r="B25" s="5"/>
      <c r="C25" s="5"/>
      <c r="D25" s="9"/>
      <c r="E25" s="5"/>
      <c r="F25" s="5"/>
      <c r="G25" s="5"/>
      <c r="H25" s="5"/>
      <c r="I25" s="5"/>
      <c r="J25" s="5"/>
      <c r="K25" s="5"/>
      <c r="L25" s="5"/>
      <c r="M25" s="13"/>
      <c r="N25" s="13"/>
      <c r="O25" s="13"/>
      <c r="P25" s="5"/>
      <c r="Q25" s="13"/>
      <c r="R25" s="5"/>
      <c r="S25" s="13"/>
    </row>
    <row r="26" spans="2:19">
      <c r="B26" s="5"/>
      <c r="C26" s="5"/>
      <c r="D26" s="9"/>
      <c r="E26" s="5"/>
      <c r="F26" s="5"/>
      <c r="G26" s="5"/>
      <c r="H26" s="5"/>
      <c r="I26" s="5"/>
      <c r="J26" s="5"/>
      <c r="K26" s="5"/>
      <c r="L26" s="5"/>
      <c r="M26" s="13"/>
      <c r="N26" s="13"/>
      <c r="O26" s="13"/>
      <c r="P26" s="5"/>
      <c r="Q26" s="13"/>
      <c r="R26" s="5"/>
      <c r="S26" s="13"/>
    </row>
    <row r="27" spans="2:19">
      <c r="B27" s="5"/>
      <c r="C27" s="5"/>
      <c r="D27" s="9"/>
      <c r="E27" s="5"/>
      <c r="F27" s="5"/>
      <c r="G27" s="5"/>
      <c r="H27" s="5"/>
      <c r="I27" s="5"/>
      <c r="J27" s="5"/>
      <c r="K27" s="5"/>
      <c r="L27" s="5"/>
      <c r="M27" s="13"/>
      <c r="N27" s="13"/>
      <c r="O27" s="13"/>
      <c r="P27" s="5"/>
      <c r="Q27" s="13"/>
      <c r="R27" s="5"/>
      <c r="S27" s="13"/>
    </row>
    <row r="28" spans="2:19">
      <c r="B28" s="5"/>
      <c r="C28" s="5"/>
      <c r="D28" s="9"/>
      <c r="E28" s="5"/>
      <c r="F28" s="5"/>
      <c r="G28" s="5"/>
      <c r="H28" s="5"/>
      <c r="I28" s="5"/>
      <c r="J28" s="5"/>
      <c r="K28" s="5"/>
      <c r="L28" s="5"/>
      <c r="M28" s="13"/>
      <c r="N28" s="13"/>
      <c r="O28" s="13"/>
      <c r="P28" s="5"/>
      <c r="Q28" s="13"/>
      <c r="R28" s="5"/>
      <c r="S28" s="13"/>
    </row>
    <row r="29" spans="2:19">
      <c r="B29" s="5"/>
      <c r="C29" s="5"/>
      <c r="D29" s="9"/>
      <c r="E29" s="5"/>
      <c r="F29" s="5"/>
      <c r="G29" s="5"/>
      <c r="H29" s="5"/>
      <c r="I29" s="5"/>
      <c r="J29" s="5"/>
      <c r="K29" s="5"/>
      <c r="L29" s="5"/>
      <c r="M29" s="13"/>
      <c r="N29" s="13"/>
      <c r="O29" s="13"/>
      <c r="P29" s="5"/>
      <c r="Q29" s="13"/>
      <c r="R29" s="5"/>
      <c r="S29" s="13"/>
    </row>
    <row r="30" spans="2:19">
      <c r="B30" s="5"/>
      <c r="C30" s="5"/>
      <c r="D30" s="9"/>
      <c r="E30" s="5"/>
      <c r="F30" s="5"/>
      <c r="G30" s="5"/>
      <c r="H30" s="5"/>
      <c r="I30" s="5"/>
      <c r="J30" s="5"/>
      <c r="K30" s="5"/>
      <c r="L30" s="5"/>
      <c r="M30" s="13"/>
      <c r="N30" s="13"/>
      <c r="O30" s="13"/>
      <c r="P30" s="5"/>
      <c r="Q30" s="13"/>
      <c r="R30" s="5"/>
      <c r="S30" s="13"/>
    </row>
    <row r="31" spans="2:19">
      <c r="B31" s="5"/>
      <c r="C31" s="5"/>
      <c r="D31" s="9"/>
      <c r="E31" s="5"/>
      <c r="F31" s="5"/>
      <c r="G31" s="5"/>
      <c r="H31" s="5"/>
      <c r="I31" s="5"/>
      <c r="J31" s="5"/>
      <c r="K31" s="5"/>
      <c r="L31" s="5"/>
      <c r="M31" s="13"/>
      <c r="N31" s="13"/>
      <c r="O31" s="13"/>
      <c r="P31" s="5"/>
      <c r="Q31" s="13"/>
      <c r="R31" s="5"/>
      <c r="S31" s="13"/>
    </row>
    <row r="32" spans="2:19">
      <c r="B32" s="5"/>
      <c r="C32" s="5"/>
      <c r="D32" s="9"/>
      <c r="E32" s="5"/>
      <c r="F32" s="5"/>
      <c r="G32" s="5"/>
      <c r="H32" s="5"/>
      <c r="I32" s="5"/>
      <c r="J32" s="5"/>
      <c r="K32" s="5"/>
      <c r="L32" s="5"/>
      <c r="M32" s="13"/>
      <c r="N32" s="13"/>
      <c r="O32" s="13"/>
      <c r="P32" s="5"/>
      <c r="Q32" s="13"/>
      <c r="R32" s="5"/>
      <c r="S32" s="13"/>
    </row>
    <row r="33" spans="2:19">
      <c r="B33" s="5"/>
      <c r="C33" s="5"/>
      <c r="D33" s="9"/>
      <c r="E33" s="5"/>
      <c r="F33" s="5"/>
      <c r="G33" s="5"/>
      <c r="H33" s="5"/>
      <c r="I33" s="5"/>
      <c r="J33" s="5"/>
      <c r="K33" s="5"/>
      <c r="L33" s="5"/>
      <c r="M33" s="13"/>
      <c r="N33" s="13"/>
      <c r="O33" s="13"/>
      <c r="P33" s="5"/>
      <c r="Q33" s="13"/>
      <c r="R33" s="5"/>
      <c r="S33" s="13"/>
    </row>
    <row r="34" spans="2:19">
      <c r="B34" s="5"/>
      <c r="C34" s="5"/>
      <c r="D34" s="9"/>
      <c r="E34" s="5"/>
      <c r="F34" s="5"/>
      <c r="G34" s="5"/>
      <c r="H34" s="5"/>
      <c r="I34" s="5"/>
      <c r="J34" s="5"/>
      <c r="K34" s="5"/>
      <c r="L34" s="5"/>
      <c r="M34" s="13"/>
      <c r="N34" s="13"/>
      <c r="O34" s="13"/>
      <c r="P34" s="5"/>
      <c r="Q34" s="13"/>
      <c r="R34" s="5"/>
      <c r="S34" s="13"/>
    </row>
    <row r="35" spans="2:19">
      <c r="B35" s="5"/>
      <c r="C35" s="5"/>
      <c r="D35" s="9"/>
      <c r="E35" s="5"/>
      <c r="F35" s="5"/>
      <c r="G35" s="5"/>
      <c r="H35" s="5"/>
      <c r="I35" s="5"/>
      <c r="J35" s="5"/>
      <c r="K35" s="5"/>
      <c r="L35" s="5"/>
      <c r="M35" s="13"/>
      <c r="N35" s="13"/>
      <c r="O35" s="13"/>
      <c r="P35" s="5"/>
      <c r="Q35" s="13"/>
      <c r="R35" s="5"/>
      <c r="S35" s="13"/>
    </row>
    <row r="36" spans="2:19">
      <c r="B36" s="5"/>
      <c r="C36" s="5"/>
      <c r="D36" s="9"/>
      <c r="E36" s="5"/>
      <c r="F36" s="5"/>
      <c r="G36" s="5"/>
      <c r="H36" s="5"/>
      <c r="I36" s="5"/>
      <c r="J36" s="5"/>
      <c r="K36" s="5"/>
      <c r="L36" s="5"/>
      <c r="M36" s="13"/>
      <c r="N36" s="13"/>
      <c r="O36" s="13"/>
      <c r="P36" s="5"/>
      <c r="Q36" s="13"/>
      <c r="R36" s="5"/>
      <c r="S36" s="13"/>
    </row>
    <row r="37" spans="2:19">
      <c r="B37" s="5"/>
      <c r="C37" s="5"/>
      <c r="D37" s="9"/>
      <c r="E37" s="5"/>
      <c r="F37" s="5"/>
      <c r="G37" s="5"/>
      <c r="H37" s="5"/>
      <c r="I37" s="5"/>
      <c r="J37" s="5"/>
      <c r="K37" s="5"/>
      <c r="L37" s="5"/>
      <c r="M37" s="13"/>
      <c r="N37" s="13"/>
      <c r="O37" s="13"/>
      <c r="P37" s="5"/>
      <c r="Q37" s="13"/>
      <c r="R37" s="5"/>
      <c r="S37" s="13"/>
    </row>
    <row r="38" spans="2:19">
      <c r="B38" s="5"/>
      <c r="C38" s="5"/>
      <c r="D38" s="9"/>
      <c r="E38" s="5"/>
      <c r="F38" s="5"/>
      <c r="G38" s="5"/>
      <c r="H38" s="5"/>
      <c r="I38" s="5"/>
      <c r="J38" s="5"/>
      <c r="K38" s="5"/>
      <c r="L38" s="5"/>
      <c r="M38" s="13"/>
      <c r="N38" s="13"/>
      <c r="O38" s="13"/>
      <c r="P38" s="5"/>
      <c r="Q38" s="13"/>
      <c r="R38" s="5"/>
      <c r="S38" s="13"/>
    </row>
    <row r="39" spans="2:19">
      <c r="B39" s="5"/>
      <c r="C39" s="5"/>
      <c r="D39" s="9"/>
      <c r="E39" s="5"/>
      <c r="F39" s="5"/>
      <c r="G39" s="5"/>
      <c r="H39" s="5"/>
      <c r="I39" s="5"/>
      <c r="J39" s="5"/>
      <c r="K39" s="5"/>
      <c r="L39" s="5"/>
      <c r="M39" s="13"/>
      <c r="N39" s="13"/>
      <c r="O39" s="13"/>
      <c r="P39" s="5"/>
      <c r="Q39" s="13"/>
      <c r="R39" s="5"/>
      <c r="S39" s="13"/>
    </row>
    <row r="40" spans="2:19">
      <c r="B40" s="5"/>
      <c r="C40" s="5"/>
      <c r="D40" s="9"/>
      <c r="E40" s="5"/>
      <c r="F40" s="5"/>
      <c r="G40" s="5"/>
      <c r="H40" s="5"/>
      <c r="I40" s="5"/>
      <c r="J40" s="5"/>
      <c r="K40" s="5"/>
      <c r="L40" s="5"/>
      <c r="M40" s="13"/>
      <c r="N40" s="13"/>
      <c r="O40" s="13"/>
      <c r="P40" s="5"/>
      <c r="Q40" s="13"/>
      <c r="R40" s="5"/>
      <c r="S40" s="13"/>
    </row>
    <row r="41" spans="2:19">
      <c r="B41" s="5"/>
      <c r="C41" s="5"/>
      <c r="D41" s="9"/>
      <c r="E41" s="5"/>
      <c r="F41" s="5"/>
      <c r="G41" s="5"/>
      <c r="H41" s="5"/>
      <c r="I41" s="5"/>
      <c r="J41" s="5"/>
      <c r="K41" s="5"/>
      <c r="L41" s="5"/>
      <c r="M41" s="13"/>
      <c r="N41" s="13"/>
      <c r="O41" s="13"/>
      <c r="P41" s="5"/>
      <c r="Q41" s="13"/>
      <c r="R41" s="5"/>
      <c r="S41" s="13"/>
    </row>
    <row r="42" spans="2:19">
      <c r="B42" s="5"/>
      <c r="C42" s="5"/>
      <c r="D42" s="9"/>
      <c r="E42" s="5"/>
      <c r="F42" s="5"/>
      <c r="G42" s="5"/>
      <c r="H42" s="5"/>
      <c r="I42" s="5"/>
      <c r="J42" s="5"/>
      <c r="K42" s="5"/>
      <c r="L42" s="5"/>
      <c r="M42" s="13"/>
      <c r="N42" s="13"/>
      <c r="O42" s="13"/>
      <c r="P42" s="5"/>
      <c r="Q42" s="13"/>
      <c r="R42" s="5"/>
      <c r="S42" s="13"/>
    </row>
    <row r="43" spans="2:19">
      <c r="B43" s="5"/>
      <c r="C43" s="5"/>
      <c r="D43" s="9"/>
      <c r="E43" s="5"/>
      <c r="F43" s="5"/>
      <c r="G43" s="5"/>
      <c r="H43" s="5"/>
      <c r="I43" s="5"/>
      <c r="J43" s="5"/>
      <c r="K43" s="5"/>
      <c r="L43" s="5"/>
      <c r="M43" s="13"/>
      <c r="N43" s="13"/>
      <c r="O43" s="13"/>
      <c r="P43" s="5"/>
      <c r="Q43" s="13"/>
      <c r="R43" s="5"/>
      <c r="S43" s="13"/>
    </row>
    <row r="44" spans="2:19">
      <c r="B44" s="5"/>
      <c r="C44" s="5"/>
      <c r="D44" s="9"/>
      <c r="E44" s="5"/>
      <c r="G44" s="5"/>
      <c r="H44" s="5"/>
      <c r="I44" s="5"/>
      <c r="J44" s="5"/>
      <c r="K44" s="5"/>
      <c r="L44" s="5"/>
      <c r="M44" s="13"/>
      <c r="N44" s="13"/>
      <c r="O44" s="13"/>
      <c r="P44" s="5"/>
      <c r="Q44" s="13"/>
      <c r="R44" s="5"/>
      <c r="S44" s="13"/>
    </row>
  </sheetData>
  <sortState ref="B2:S25">
    <sortCondition ref="B2:B25"/>
  </sortState>
  <phoneticPr fontId="1" type="noConversion"/>
  <conditionalFormatting sqref="D11:D16 D2:D3">
    <cfRule type="cellIs" dxfId="17" priority="21" operator="lessThan">
      <formula>0</formula>
    </cfRule>
    <cfRule type="cellIs" dxfId="16" priority="22" operator="greaterThan">
      <formula>0</formula>
    </cfRule>
  </conditionalFormatting>
  <conditionalFormatting sqref="D4">
    <cfRule type="cellIs" dxfId="15" priority="11" operator="lessThan">
      <formula>0</formula>
    </cfRule>
    <cfRule type="cellIs" dxfId="14" priority="12" operator="greaterThan">
      <formula>0</formula>
    </cfRule>
  </conditionalFormatting>
  <conditionalFormatting sqref="D5:D10">
    <cfRule type="cellIs" dxfId="13" priority="9" operator="lessThan">
      <formula>0</formula>
    </cfRule>
    <cfRule type="cellIs" dxfId="12" priority="10" operator="greaterThan">
      <formula>0</formula>
    </cfRule>
  </conditionalFormatting>
  <conditionalFormatting sqref="D17:D44">
    <cfRule type="cellIs" dxfId="11" priority="5" operator="lessThan">
      <formula>0</formula>
    </cfRule>
    <cfRule type="cellIs" dxfId="10" priority="6" operator="greaterThan">
      <formula>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新浪股票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195263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8"/>
  <sheetViews>
    <sheetView tabSelected="1" zoomScaleNormal="100" workbookViewId="0">
      <pane ySplit="1" topLeftCell="A2" activePane="bottomLeft" state="frozen"/>
      <selection activeCell="G5" sqref="G5"/>
      <selection pane="bottomLeft" activeCell="D22" sqref="D22"/>
    </sheetView>
  </sheetViews>
  <sheetFormatPr defaultColWidth="9" defaultRowHeight="14.25"/>
  <cols>
    <col min="1" max="2" width="9" style="1"/>
    <col min="3" max="3" width="12" style="1" customWidth="1"/>
    <col min="4" max="4" width="10.46484375" style="10" bestFit="1" customWidth="1"/>
    <col min="5" max="9" width="10.9296875" style="1" customWidth="1"/>
    <col min="10" max="10" width="14.46484375" style="1" customWidth="1"/>
    <col min="11" max="11" width="14.59765625" style="1" customWidth="1"/>
    <col min="12" max="12" width="13.06640625" style="1" bestFit="1" customWidth="1"/>
    <col min="13" max="13" width="11.9296875" style="14" bestFit="1" customWidth="1"/>
    <col min="14" max="15" width="11.9296875" style="14" customWidth="1"/>
    <col min="16" max="16" width="11" style="1" bestFit="1" customWidth="1"/>
    <col min="17" max="17" width="11.9296875" style="14" bestFit="1" customWidth="1"/>
    <col min="18" max="18" width="13.06640625" style="1" bestFit="1" customWidth="1"/>
    <col min="19" max="19" width="11.9296875" style="14" bestFit="1" customWidth="1"/>
    <col min="20" max="16384" width="9" style="1"/>
  </cols>
  <sheetData>
    <row r="1" spans="2:19" ht="17.25" customHeight="1">
      <c r="B1" s="2" t="s">
        <v>1</v>
      </c>
      <c r="C1" s="2" t="s">
        <v>0</v>
      </c>
      <c r="D1" s="8" t="s">
        <v>26</v>
      </c>
      <c r="E1" s="15" t="s">
        <v>6</v>
      </c>
      <c r="F1" s="3" t="s">
        <v>7</v>
      </c>
      <c r="G1" s="3" t="s">
        <v>8</v>
      </c>
      <c r="H1" s="3" t="s">
        <v>9</v>
      </c>
      <c r="I1" s="3" t="s">
        <v>10</v>
      </c>
      <c r="J1" s="3" t="s">
        <v>4</v>
      </c>
      <c r="K1" s="3" t="s">
        <v>5</v>
      </c>
      <c r="L1" s="4" t="s">
        <v>49</v>
      </c>
      <c r="M1" s="12" t="s">
        <v>50</v>
      </c>
      <c r="N1" s="4" t="s">
        <v>54</v>
      </c>
      <c r="O1" s="12" t="s">
        <v>53</v>
      </c>
      <c r="P1" s="2" t="s">
        <v>51</v>
      </c>
      <c r="Q1" s="12" t="s">
        <v>50</v>
      </c>
      <c r="R1" s="2" t="s">
        <v>52</v>
      </c>
      <c r="S1" s="12" t="s">
        <v>53</v>
      </c>
    </row>
    <row r="2" spans="2:19" ht="16.5" customHeight="1">
      <c r="B2" s="5" t="s">
        <v>2</v>
      </c>
      <c r="C2" s="5" t="s">
        <v>80</v>
      </c>
      <c r="D2" s="9">
        <v>-5.9999999999999995E-4</v>
      </c>
      <c r="E2" s="16">
        <v>2904.3600999999999</v>
      </c>
      <c r="F2" s="6">
        <v>2912.5209</v>
      </c>
      <c r="G2" s="6">
        <v>2906.1687999999999</v>
      </c>
      <c r="H2" s="6">
        <v>2915.0410999999999</v>
      </c>
      <c r="I2" s="6">
        <v>2897.9276</v>
      </c>
      <c r="J2" s="6">
        <v>78.891757999999996</v>
      </c>
      <c r="K2" s="6">
        <v>7066015.3574999999</v>
      </c>
      <c r="L2" s="5"/>
      <c r="M2" s="13"/>
      <c r="N2" s="13"/>
      <c r="O2" s="13"/>
      <c r="P2" s="5"/>
      <c r="Q2" s="13"/>
      <c r="R2" s="5"/>
      <c r="S2" s="13"/>
    </row>
    <row r="3" spans="2:19" ht="16.5" customHeight="1">
      <c r="B3" s="5" t="s">
        <v>3</v>
      </c>
      <c r="C3" s="5" t="s">
        <v>81</v>
      </c>
      <c r="D3" s="9">
        <v>1.5E-3</v>
      </c>
      <c r="E3" s="16">
        <v>9640.4249999999993</v>
      </c>
      <c r="F3" s="6">
        <v>9662.4140000000007</v>
      </c>
      <c r="G3" s="6">
        <v>9626.3549999999996</v>
      </c>
      <c r="H3" s="6">
        <v>9698.5990000000002</v>
      </c>
      <c r="I3" s="6">
        <v>9609.73</v>
      </c>
      <c r="J3" s="6">
        <v>11137.181736</v>
      </c>
      <c r="K3" s="6">
        <v>10819002.009737199</v>
      </c>
      <c r="L3" s="5"/>
      <c r="M3" s="13"/>
      <c r="N3" s="13"/>
      <c r="O3" s="13"/>
      <c r="P3" s="5"/>
      <c r="Q3" s="13"/>
      <c r="R3" s="5"/>
      <c r="S3" s="13"/>
    </row>
    <row r="4" spans="2:19">
      <c r="B4" s="5" t="s">
        <v>36</v>
      </c>
      <c r="C4" s="5" t="s">
        <v>82</v>
      </c>
      <c r="D4" s="9">
        <v>1.9E-3</v>
      </c>
      <c r="E4" s="5">
        <v>1.6020000000000001</v>
      </c>
      <c r="F4" s="5">
        <v>1.603</v>
      </c>
      <c r="G4" s="5">
        <v>1.599</v>
      </c>
      <c r="H4" s="5">
        <v>1.613</v>
      </c>
      <c r="I4" s="5">
        <v>1.5960000000000001</v>
      </c>
      <c r="J4" s="5">
        <v>136.210103</v>
      </c>
      <c r="K4" s="5">
        <v>21855.100895300002</v>
      </c>
      <c r="L4" s="5"/>
      <c r="M4" s="13"/>
      <c r="N4" s="13"/>
      <c r="O4" s="13"/>
      <c r="P4" s="5"/>
      <c r="Q4" s="13"/>
      <c r="R4" s="5"/>
      <c r="S4" s="13"/>
    </row>
    <row r="5" spans="2:19">
      <c r="B5" s="5" t="s">
        <v>37</v>
      </c>
      <c r="C5" s="5" t="s">
        <v>83</v>
      </c>
      <c r="D5" s="9">
        <v>-2E-3</v>
      </c>
      <c r="E5" s="5">
        <v>4891.8669</v>
      </c>
      <c r="F5" s="5">
        <v>4906.4288999999999</v>
      </c>
      <c r="G5" s="5">
        <v>4901.5020999999997</v>
      </c>
      <c r="H5" s="5">
        <v>4920.6768000000002</v>
      </c>
      <c r="I5" s="5">
        <v>4882.1867000000002</v>
      </c>
      <c r="J5" s="5">
        <v>38.733018999999999</v>
      </c>
      <c r="K5" s="5">
        <v>3254508.4007999999</v>
      </c>
      <c r="L5" s="5"/>
      <c r="M5" s="13"/>
      <c r="N5" s="13"/>
      <c r="O5" s="13"/>
      <c r="P5" s="5"/>
      <c r="Q5" s="13"/>
      <c r="R5" s="5"/>
      <c r="S5" s="13"/>
    </row>
    <row r="6" spans="2:19">
      <c r="B6" s="5" t="s">
        <v>39</v>
      </c>
      <c r="C6" s="5" t="s">
        <v>84</v>
      </c>
      <c r="D6" s="9">
        <v>6.7999999999999996E-3</v>
      </c>
      <c r="E6" s="5">
        <v>2.0640000000000001</v>
      </c>
      <c r="F6" s="5">
        <v>2.0649999999999999</v>
      </c>
      <c r="G6" s="5">
        <v>2.0499999999999998</v>
      </c>
      <c r="H6" s="5">
        <v>2.0720000000000001</v>
      </c>
      <c r="I6" s="5">
        <v>2.0640000000000001</v>
      </c>
      <c r="J6" s="5">
        <v>11.635</v>
      </c>
      <c r="K6" s="5">
        <v>2405.2460999999998</v>
      </c>
      <c r="L6" s="5"/>
      <c r="M6" s="13"/>
      <c r="N6" s="13"/>
      <c r="O6" s="13"/>
      <c r="P6" s="5"/>
      <c r="Q6" s="13"/>
      <c r="R6" s="5"/>
      <c r="S6" s="13"/>
    </row>
    <row r="7" spans="2:19">
      <c r="B7" s="5" t="s">
        <v>40</v>
      </c>
      <c r="C7" s="5" t="s">
        <v>85</v>
      </c>
      <c r="D7" s="9">
        <v>3.5999999999999999E-3</v>
      </c>
      <c r="E7" s="5">
        <v>1.115</v>
      </c>
      <c r="F7" s="5">
        <v>1.1120000000000001</v>
      </c>
      <c r="G7" s="5">
        <v>1.111</v>
      </c>
      <c r="H7" s="5">
        <v>1.1259999999999999</v>
      </c>
      <c r="I7" s="5">
        <v>1.1120000000000001</v>
      </c>
      <c r="J7" s="5">
        <v>1.2683</v>
      </c>
      <c r="K7" s="5">
        <v>141.78639999999999</v>
      </c>
      <c r="L7" s="5"/>
      <c r="M7" s="13"/>
      <c r="N7" s="13"/>
      <c r="O7" s="13"/>
      <c r="P7" s="5"/>
      <c r="Q7" s="13"/>
      <c r="R7" s="5"/>
      <c r="S7" s="13"/>
    </row>
    <row r="8" spans="2:19">
      <c r="B8" s="5" t="s">
        <v>37</v>
      </c>
      <c r="C8" s="5" t="s">
        <v>83</v>
      </c>
      <c r="D8" s="9">
        <v>-2E-3</v>
      </c>
      <c r="E8" s="5">
        <v>4891.8669</v>
      </c>
      <c r="F8" s="5">
        <v>4906.4288999999999</v>
      </c>
      <c r="G8" s="5">
        <v>4901.5020999999997</v>
      </c>
      <c r="H8" s="5">
        <v>4920.6768000000002</v>
      </c>
      <c r="I8" s="5">
        <v>4882.1867000000002</v>
      </c>
      <c r="J8" s="5">
        <v>38.733018999999999</v>
      </c>
      <c r="K8" s="5">
        <v>3254508.4007999999</v>
      </c>
      <c r="L8" s="5"/>
      <c r="M8" s="13"/>
      <c r="N8" s="13"/>
      <c r="O8" s="13"/>
      <c r="P8" s="5"/>
      <c r="Q8" s="13"/>
      <c r="R8" s="5"/>
      <c r="S8" s="13"/>
    </row>
    <row r="9" spans="2:19">
      <c r="B9" s="5" t="s">
        <v>41</v>
      </c>
      <c r="C9" s="5" t="s">
        <v>86</v>
      </c>
      <c r="D9" s="9">
        <v>1.0500000000000001E-2</v>
      </c>
      <c r="E9" s="5">
        <v>3.0739999999999998</v>
      </c>
      <c r="F9" s="5">
        <v>3.07</v>
      </c>
      <c r="G9" s="5">
        <v>3.0419999999999998</v>
      </c>
      <c r="H9" s="5">
        <v>3.081</v>
      </c>
      <c r="I9" s="5">
        <v>3.07</v>
      </c>
      <c r="J9" s="5">
        <v>5.9138999999999999</v>
      </c>
      <c r="K9" s="5">
        <v>1818.0675000000001</v>
      </c>
      <c r="L9" s="5"/>
      <c r="M9" s="13"/>
      <c r="N9" s="13"/>
      <c r="O9" s="13"/>
      <c r="P9" s="5"/>
      <c r="Q9" s="13"/>
      <c r="R9" s="5"/>
      <c r="S9" s="13"/>
    </row>
    <row r="10" spans="2:19">
      <c r="B10" s="5" t="s">
        <v>42</v>
      </c>
      <c r="C10" s="5" t="s">
        <v>87</v>
      </c>
      <c r="D10" s="9">
        <v>0</v>
      </c>
      <c r="E10" s="5">
        <v>1.214</v>
      </c>
      <c r="F10" s="5">
        <v>1.222</v>
      </c>
      <c r="G10" s="5">
        <v>1.214</v>
      </c>
      <c r="H10" s="5">
        <v>1.224</v>
      </c>
      <c r="I10" s="5">
        <v>1.212</v>
      </c>
      <c r="J10" s="5">
        <v>334.77019999999999</v>
      </c>
      <c r="K10" s="5">
        <v>40772.655700000003</v>
      </c>
      <c r="L10" s="5"/>
      <c r="M10" s="13"/>
      <c r="N10" s="13"/>
      <c r="O10" s="13"/>
      <c r="P10" s="5"/>
      <c r="Q10" s="13"/>
      <c r="R10" s="5"/>
      <c r="S10" s="13"/>
    </row>
    <row r="11" spans="2:19">
      <c r="B11" s="5" t="s">
        <v>43</v>
      </c>
      <c r="C11" s="5" t="s">
        <v>88</v>
      </c>
      <c r="D11" s="9">
        <v>-1.2999999999999999E-3</v>
      </c>
      <c r="E11" s="5">
        <v>3.931</v>
      </c>
      <c r="F11" s="5">
        <v>3.9359999999999999</v>
      </c>
      <c r="G11" s="5">
        <v>3.9359999999999999</v>
      </c>
      <c r="H11" s="5">
        <v>3.9550000000000001</v>
      </c>
      <c r="I11" s="5">
        <v>3.92</v>
      </c>
      <c r="J11" s="5">
        <v>58.180447999999998</v>
      </c>
      <c r="K11" s="5">
        <v>22888.393727399998</v>
      </c>
      <c r="L11" s="5"/>
      <c r="M11" s="13"/>
      <c r="N11" s="13"/>
      <c r="O11" s="13"/>
      <c r="P11" s="5"/>
      <c r="Q11" s="13"/>
      <c r="R11" s="5"/>
      <c r="S11" s="13"/>
    </row>
    <row r="12" spans="2:19">
      <c r="B12" s="5" t="s">
        <v>44</v>
      </c>
      <c r="C12" s="5" t="s">
        <v>89</v>
      </c>
      <c r="D12" s="9">
        <v>-2E-3</v>
      </c>
      <c r="E12" s="5">
        <v>1.4930000000000001</v>
      </c>
      <c r="F12" s="5">
        <v>1.5049999999999999</v>
      </c>
      <c r="G12" s="5">
        <v>1.496</v>
      </c>
      <c r="H12" s="5">
        <v>1.5069999999999999</v>
      </c>
      <c r="I12" s="5">
        <v>1.4910000000000001</v>
      </c>
      <c r="J12" s="5">
        <v>300.85340000000002</v>
      </c>
      <c r="K12" s="5">
        <v>45015.896139999997</v>
      </c>
      <c r="L12" s="5"/>
      <c r="M12" s="13"/>
      <c r="N12" s="13"/>
      <c r="O12" s="13"/>
      <c r="P12" s="5"/>
      <c r="Q12" s="13"/>
      <c r="R12" s="5"/>
      <c r="S12" s="13"/>
    </row>
    <row r="13" spans="2:19">
      <c r="B13" s="5" t="s">
        <v>45</v>
      </c>
      <c r="C13" s="5" t="s">
        <v>90</v>
      </c>
      <c r="D13" s="9">
        <v>0</v>
      </c>
      <c r="E13" s="5">
        <v>2.9940000000000002</v>
      </c>
      <c r="F13" s="5">
        <v>3.0019999999999998</v>
      </c>
      <c r="G13" s="5">
        <v>2.9940000000000002</v>
      </c>
      <c r="H13" s="5">
        <v>3.01</v>
      </c>
      <c r="I13" s="5">
        <v>2.988</v>
      </c>
      <c r="J13" s="5">
        <v>198.37191000000001</v>
      </c>
      <c r="K13" s="5">
        <v>59519.464899999999</v>
      </c>
      <c r="L13" s="5"/>
      <c r="M13" s="13"/>
      <c r="N13" s="13"/>
      <c r="O13" s="13"/>
      <c r="P13" s="5"/>
      <c r="Q13" s="13"/>
      <c r="R13" s="5"/>
      <c r="S13" s="13"/>
    </row>
    <row r="14" spans="2:19">
      <c r="B14" s="5" t="s">
        <v>46</v>
      </c>
      <c r="C14" s="5" t="s">
        <v>91</v>
      </c>
      <c r="D14" s="9">
        <v>9.4000000000000004E-3</v>
      </c>
      <c r="E14" s="5">
        <v>1.288</v>
      </c>
      <c r="F14" s="5">
        <v>1.2849999999999999</v>
      </c>
      <c r="G14" s="5">
        <v>1.276</v>
      </c>
      <c r="H14" s="5">
        <v>1.2909999999999999</v>
      </c>
      <c r="I14" s="5">
        <v>1.2849999999999999</v>
      </c>
      <c r="J14" s="5">
        <v>0.13919999999999999</v>
      </c>
      <c r="K14" s="5">
        <v>17.919070000000001</v>
      </c>
      <c r="L14" s="5"/>
      <c r="M14" s="13"/>
      <c r="N14" s="13"/>
      <c r="O14" s="13"/>
      <c r="P14" s="5"/>
      <c r="Q14" s="13"/>
      <c r="R14" s="5"/>
      <c r="S14" s="13"/>
    </row>
    <row r="15" spans="2:19">
      <c r="B15" s="5" t="s">
        <v>47</v>
      </c>
      <c r="C15" s="5" t="s">
        <v>92</v>
      </c>
      <c r="D15" s="9">
        <v>1.01E-2</v>
      </c>
      <c r="E15" s="5">
        <v>1.3029999999999999</v>
      </c>
      <c r="F15" s="5">
        <v>1.3089999999999999</v>
      </c>
      <c r="G15" s="5">
        <v>1.29</v>
      </c>
      <c r="H15" s="5">
        <v>1.31</v>
      </c>
      <c r="I15" s="5">
        <v>1.302</v>
      </c>
      <c r="J15" s="5">
        <v>19.5152</v>
      </c>
      <c r="K15" s="5">
        <v>2548.1194</v>
      </c>
      <c r="L15" s="5"/>
      <c r="M15" s="13"/>
      <c r="N15" s="13"/>
      <c r="O15" s="13"/>
      <c r="P15" s="5"/>
      <c r="Q15" s="13"/>
      <c r="R15" s="5"/>
      <c r="S15" s="13"/>
    </row>
    <row r="16" spans="2:19">
      <c r="B16" s="5" t="s">
        <v>24</v>
      </c>
      <c r="C16" s="5" t="s">
        <v>93</v>
      </c>
      <c r="D16" s="9">
        <v>0</v>
      </c>
      <c r="E16" s="5">
        <v>1.6120000000000001</v>
      </c>
      <c r="F16" s="5">
        <v>1.6180000000000001</v>
      </c>
      <c r="G16" s="5">
        <v>1.6120000000000001</v>
      </c>
      <c r="H16" s="5">
        <v>1.6180000000000001</v>
      </c>
      <c r="I16" s="5">
        <v>1.6120000000000001</v>
      </c>
      <c r="J16" s="5">
        <v>2.0999999999999999E-3</v>
      </c>
      <c r="K16" s="5">
        <v>0.33971999999999997</v>
      </c>
      <c r="L16" s="5"/>
      <c r="M16" s="13"/>
      <c r="N16" s="13"/>
      <c r="O16" s="13"/>
      <c r="P16" s="5"/>
      <c r="Q16" s="13"/>
      <c r="R16" s="5"/>
      <c r="S16" s="13"/>
    </row>
    <row r="17" spans="2:19">
      <c r="B17" s="5" t="s">
        <v>23</v>
      </c>
      <c r="C17" s="5" t="s">
        <v>94</v>
      </c>
      <c r="D17" s="9">
        <v>1.9E-3</v>
      </c>
      <c r="E17" s="5">
        <v>1664.9590000000001</v>
      </c>
      <c r="F17" s="5">
        <v>1667.7840000000001</v>
      </c>
      <c r="G17" s="5">
        <v>1661.7739999999999</v>
      </c>
      <c r="H17" s="5">
        <v>1675.9480000000001</v>
      </c>
      <c r="I17" s="5">
        <v>1659.028</v>
      </c>
      <c r="J17" s="5">
        <v>2838.3075269999999</v>
      </c>
      <c r="K17" s="5">
        <v>3779411.3262449997</v>
      </c>
      <c r="L17" s="5"/>
      <c r="M17" s="13"/>
      <c r="N17" s="13"/>
      <c r="O17" s="13"/>
      <c r="P17" s="5"/>
      <c r="Q17" s="13"/>
      <c r="R17" s="5"/>
      <c r="S17" s="13"/>
    </row>
    <row r="18" spans="2:19">
      <c r="B18" s="5" t="s">
        <v>96</v>
      </c>
      <c r="C18" s="11" t="s">
        <v>95</v>
      </c>
      <c r="D18" s="9">
        <v>2.0000000000000001E-4</v>
      </c>
      <c r="E18" s="5">
        <v>3878.8679000000002</v>
      </c>
      <c r="F18" s="5">
        <v>3893.4349000000002</v>
      </c>
      <c r="G18" s="5">
        <v>3878.2060999999999</v>
      </c>
      <c r="H18" s="5">
        <v>3899.1097</v>
      </c>
      <c r="I18" s="5">
        <v>3869.5947999999999</v>
      </c>
      <c r="J18" s="5">
        <v>47.611148</v>
      </c>
      <c r="K18" s="5">
        <v>5581420.2088000001</v>
      </c>
    </row>
  </sheetData>
  <conditionalFormatting sqref="D16 D2:D3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D4:D5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D6:D15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D17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D1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新浪股票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195263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/>
  <sheetData>
    <row r="1" spans="1:1">
      <c r="A1" s="7" t="s">
        <v>25</v>
      </c>
    </row>
  </sheetData>
  <phoneticPr fontId="1" type="noConversion"/>
  <hyperlinks>
    <hyperlink ref="A1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股票</vt:lpstr>
      <vt:lpstr>指数</vt:lpstr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Aaron</cp:lastModifiedBy>
  <cp:lastPrinted>2016-10-18T17:54:46Z</cp:lastPrinted>
  <dcterms:created xsi:type="dcterms:W3CDTF">2016-10-17T17:48:58Z</dcterms:created>
  <dcterms:modified xsi:type="dcterms:W3CDTF">2019-11-26T03:03:16Z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fcfe36b2</vt:lpwstr>
  </property>
</Properties>
</file>