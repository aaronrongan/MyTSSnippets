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2"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aron\Documents\MyZoteroFiles_IRF\"/>
    </mc:Choice>
  </mc:AlternateContent>
  <xr:revisionPtr revIDLastSave="0" documentId="13_ncr:1_{1215924C-F328-468C-AC6C-6DBCB24658E9}" xr6:coauthVersionLast="36" xr6:coauthVersionMax="36" xr10:uidLastSave="{00000000-0000-0000-0000-000000000000}"/>
  <bookViews>
    <workbookView xWindow="3453" yWindow="109" windowWidth="14809" windowHeight="8012" activeTab="1" xr2:uid="{00000000-000D-0000-FFFF-FFFF00000000}"/>
  </bookViews>
  <sheets>
    <sheet name="首页" sheetId="1" r:id="rId1"/>
    <sheet name="数据速览" sheetId="8" r:id="rId2"/>
    <sheet name="偿债能力" sheetId="2" r:id="rId3"/>
    <sheet name="营运能力" sheetId="5" r:id="rId4"/>
    <sheet name="盈利能力" sheetId="7" r:id="rId5"/>
    <sheet name="说明" sheetId="4" r:id="rId6"/>
    <sheet name="其他" sheetId="3" state="hidden" r:id="rId7"/>
  </sheets>
  <externalReferences>
    <externalReference r:id="rId8"/>
  </externalReferences>
  <calcPr calcId="191029"/>
</workbook>
</file>

<file path=xl/calcChain.xml><?xml version="1.0" encoding="utf-8"?>
<calcChain xmlns="http://schemas.openxmlformats.org/spreadsheetml/2006/main">
  <c r="C218" i="7" l="1"/>
  <c r="C256" i="7"/>
  <c r="C294" i="7" s="1"/>
  <c r="C9" i="7"/>
  <c r="D20" i="2"/>
  <c r="D22" i="7" s="1"/>
  <c r="D12" i="2"/>
  <c r="E12" i="2" s="1"/>
  <c r="C218" i="5"/>
  <c r="C256" i="5"/>
  <c r="C294" i="5" s="1"/>
  <c r="C9" i="5"/>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2" i="3"/>
  <c r="C9" i="2"/>
  <c r="I20" i="2"/>
  <c r="F20" i="2"/>
  <c r="F22" i="7" s="1"/>
  <c r="F60" i="7" s="1"/>
  <c r="F98" i="7" s="1"/>
  <c r="G20" i="2"/>
  <c r="G58" i="2" s="1"/>
  <c r="G100" i="2" s="1"/>
  <c r="E20" i="2"/>
  <c r="M20" i="2"/>
  <c r="M58" i="2" s="1"/>
  <c r="M100" i="2" s="1"/>
  <c r="J20" i="2"/>
  <c r="J22" i="7" s="1"/>
  <c r="J137" i="7" s="1"/>
  <c r="K20" i="2"/>
  <c r="K22" i="7" s="1"/>
  <c r="K137" i="7" s="1"/>
  <c r="H20" i="2"/>
  <c r="H22" i="7" s="1"/>
  <c r="H291" i="7" s="1"/>
  <c r="L20" i="2"/>
  <c r="L22" i="7" s="1"/>
  <c r="L291" i="7" s="1"/>
  <c r="K217" i="2"/>
  <c r="L22" i="5" l="1"/>
  <c r="L137" i="5" s="1"/>
  <c r="K58" i="2"/>
  <c r="H22" i="5"/>
  <c r="E22" i="7"/>
  <c r="E217" i="2"/>
  <c r="G22" i="7"/>
  <c r="G291" i="7" s="1"/>
  <c r="G217" i="2"/>
  <c r="M22" i="7"/>
  <c r="M22" i="5"/>
  <c r="M215" i="5" s="1"/>
  <c r="M217" i="2"/>
  <c r="I22" i="7"/>
  <c r="I217" i="2"/>
  <c r="J58" i="2"/>
  <c r="E58" i="2"/>
  <c r="I58" i="2"/>
  <c r="D179" i="2"/>
  <c r="L177" i="5"/>
  <c r="D58" i="2"/>
  <c r="M60" i="5"/>
  <c r="M98" i="5" s="1"/>
  <c r="H58" i="2"/>
  <c r="F58" i="2"/>
  <c r="J217" i="2"/>
  <c r="H217" i="2"/>
  <c r="F217" i="2"/>
  <c r="J22" i="5"/>
  <c r="J253" i="5" s="1"/>
  <c r="F22" i="5"/>
  <c r="E215" i="7"/>
  <c r="D137" i="7"/>
  <c r="D177" i="7"/>
  <c r="M137" i="7"/>
  <c r="G60" i="7"/>
  <c r="D22" i="5"/>
  <c r="D291" i="5" s="1"/>
  <c r="D139" i="2"/>
  <c r="D217" i="2"/>
  <c r="J60" i="5"/>
  <c r="J98" i="5" s="1"/>
  <c r="J139" i="2"/>
  <c r="H139" i="2"/>
  <c r="G139" i="2"/>
  <c r="F139" i="2"/>
  <c r="E139" i="2"/>
  <c r="M139" i="2"/>
  <c r="L139" i="2"/>
  <c r="K139" i="2"/>
  <c r="I139" i="2"/>
  <c r="L179" i="2"/>
  <c r="K179" i="2"/>
  <c r="J179" i="2"/>
  <c r="I179" i="2"/>
  <c r="H179" i="2"/>
  <c r="G179" i="2"/>
  <c r="F179" i="2"/>
  <c r="E179" i="2"/>
  <c r="M179" i="2"/>
  <c r="K22" i="5"/>
  <c r="I22" i="5"/>
  <c r="G22" i="5"/>
  <c r="G253" i="5" s="1"/>
  <c r="E22" i="5"/>
  <c r="F215" i="7"/>
  <c r="L291" i="5"/>
  <c r="L253" i="5"/>
  <c r="L215" i="5"/>
  <c r="J137" i="5"/>
  <c r="J177" i="5"/>
  <c r="F60" i="5"/>
  <c r="F98" i="5" s="1"/>
  <c r="F177" i="5"/>
  <c r="M253" i="5"/>
  <c r="L60" i="7"/>
  <c r="L177" i="7"/>
  <c r="L215" i="7"/>
  <c r="H60" i="7"/>
  <c r="H177" i="7"/>
  <c r="H215" i="7"/>
  <c r="K177" i="7"/>
  <c r="K60" i="7"/>
  <c r="K215" i="7"/>
  <c r="J177" i="7"/>
  <c r="J60" i="7"/>
  <c r="J215" i="7"/>
  <c r="G177" i="7"/>
  <c r="G137" i="7"/>
  <c r="F177" i="7"/>
  <c r="F137" i="7"/>
  <c r="D60" i="7"/>
  <c r="D215" i="7"/>
  <c r="G253" i="7"/>
  <c r="K253" i="7"/>
  <c r="K291" i="7"/>
  <c r="L137" i="7"/>
  <c r="L253" i="7"/>
  <c r="F253" i="7"/>
  <c r="F291" i="7"/>
  <c r="J253" i="7"/>
  <c r="J291" i="7"/>
  <c r="H137" i="7"/>
  <c r="H253" i="7"/>
  <c r="D253" i="7"/>
  <c r="D291" i="7"/>
  <c r="E13" i="2"/>
  <c r="F12" i="2"/>
  <c r="D9" i="5"/>
  <c r="F9" i="2"/>
  <c r="E9" i="5"/>
  <c r="J21" i="2"/>
  <c r="K21" i="2"/>
  <c r="K178" i="7"/>
  <c r="F218" i="7"/>
  <c r="J23" i="2"/>
  <c r="K101" i="7"/>
  <c r="K218" i="7"/>
  <c r="F254" i="7"/>
  <c r="J254" i="7"/>
  <c r="F21" i="2"/>
  <c r="D178" i="7"/>
  <c r="M103" i="2"/>
  <c r="K292" i="7"/>
  <c r="L23" i="7"/>
  <c r="G21" i="2"/>
  <c r="H101" i="7"/>
  <c r="D256" i="7"/>
  <c r="E21" i="2"/>
  <c r="G101" i="2"/>
  <c r="K23" i="7"/>
  <c r="H180" i="7"/>
  <c r="K218" i="2"/>
  <c r="J294" i="7"/>
  <c r="D9" i="2"/>
  <c r="E9" i="7"/>
  <c r="F294" i="7"/>
  <c r="G59" i="2"/>
  <c r="J138" i="7"/>
  <c r="F63" i="7"/>
  <c r="K23" i="2"/>
  <c r="K220" i="2"/>
  <c r="D294" i="7"/>
  <c r="K254" i="7"/>
  <c r="L294" i="7"/>
  <c r="L254" i="7"/>
  <c r="G61" i="2"/>
  <c r="H292" i="7"/>
  <c r="H138" i="7"/>
  <c r="L21" i="2"/>
  <c r="J23" i="1"/>
  <c r="I23" i="2"/>
  <c r="H294" i="7"/>
  <c r="H25" i="7"/>
  <c r="H23" i="2"/>
  <c r="J216" i="7"/>
  <c r="K294" i="7"/>
  <c r="D218" i="7"/>
  <c r="D63" i="7"/>
  <c r="L216" i="7"/>
  <c r="M21" i="2"/>
  <c r="H23" i="7"/>
  <c r="D216" i="7"/>
  <c r="H218" i="7"/>
  <c r="L138" i="7"/>
  <c r="L256" i="7"/>
  <c r="E23" i="1"/>
  <c r="K63" i="7"/>
  <c r="F216" i="7"/>
  <c r="D254" i="7"/>
  <c r="D138" i="7"/>
  <c r="D180" i="7"/>
  <c r="L23" i="2"/>
  <c r="J180" i="7"/>
  <c r="F61" i="7"/>
  <c r="F140" i="7"/>
  <c r="J99" i="7"/>
  <c r="J218" i="7"/>
  <c r="D99" i="7"/>
  <c r="L63" i="7"/>
  <c r="K138" i="7"/>
  <c r="J25" i="7"/>
  <c r="F23" i="7"/>
  <c r="H216" i="7"/>
  <c r="M59" i="2"/>
  <c r="F138" i="7"/>
  <c r="J256" i="7"/>
  <c r="L25" i="7"/>
  <c r="F25" i="7"/>
  <c r="I21" i="2"/>
  <c r="K180" i="7"/>
  <c r="H140" i="7"/>
  <c r="H254" i="7"/>
  <c r="M61" i="2"/>
  <c r="F9" i="5"/>
  <c r="H21" i="2"/>
  <c r="E9" i="2"/>
  <c r="H256" i="7"/>
  <c r="G23" i="2"/>
  <c r="D25" i="7"/>
  <c r="K99" i="7"/>
  <c r="L292" i="7"/>
  <c r="J178" i="7"/>
  <c r="D23" i="2"/>
  <c r="K140" i="7"/>
  <c r="D9" i="7"/>
  <c r="L99" i="7"/>
  <c r="G103" i="2"/>
  <c r="J23" i="7"/>
  <c r="D101" i="7"/>
  <c r="F9" i="7"/>
  <c r="D23" i="7"/>
  <c r="D21" i="2"/>
  <c r="J292" i="7"/>
  <c r="F256" i="7"/>
  <c r="G23" i="1"/>
  <c r="H63" i="7"/>
  <c r="K25" i="7"/>
  <c r="L218" i="7"/>
  <c r="F23" i="2"/>
  <c r="F178" i="7"/>
  <c r="L180" i="7"/>
  <c r="L178" i="7"/>
  <c r="L140" i="7"/>
  <c r="J63" i="7"/>
  <c r="D140" i="7"/>
  <c r="D292" i="7"/>
  <c r="F292" i="7"/>
  <c r="E23" i="2"/>
  <c r="M23" i="2"/>
  <c r="F180" i="7"/>
  <c r="M101" i="2"/>
  <c r="H99" i="7"/>
  <c r="F99" i="7"/>
  <c r="K216" i="7"/>
  <c r="J101" i="7"/>
  <c r="J140" i="7"/>
  <c r="F101" i="7"/>
  <c r="K256" i="7"/>
  <c r="H178" i="7"/>
  <c r="L101" i="7"/>
  <c r="L63" i="5"/>
  <c r="L140" i="5"/>
  <c r="L23" i="5"/>
  <c r="L101" i="5"/>
  <c r="E218" i="5"/>
  <c r="I63" i="7"/>
  <c r="J218" i="5"/>
  <c r="E254" i="7"/>
  <c r="G138" i="7"/>
  <c r="L180" i="2"/>
  <c r="M294" i="5"/>
  <c r="G138" i="5"/>
  <c r="G254" i="5"/>
  <c r="I292" i="5"/>
  <c r="M180" i="7"/>
  <c r="M25" i="7"/>
  <c r="I256" i="5"/>
  <c r="M99" i="7"/>
  <c r="E182" i="2"/>
  <c r="M216" i="7"/>
  <c r="G294" i="7"/>
  <c r="G218" i="5"/>
  <c r="J23" i="5"/>
  <c r="E220" i="2"/>
  <c r="J63" i="5"/>
  <c r="G220" i="2"/>
  <c r="H63" i="5"/>
  <c r="G178" i="7"/>
  <c r="M180" i="5"/>
  <c r="J61" i="2"/>
  <c r="G218" i="2"/>
  <c r="M254" i="7"/>
  <c r="I218" i="5"/>
  <c r="E63" i="7"/>
  <c r="D138" i="5"/>
  <c r="D292" i="5"/>
  <c r="E23" i="7"/>
  <c r="M220" i="2"/>
  <c r="I254" i="7"/>
  <c r="I140" i="7"/>
  <c r="E61" i="5"/>
  <c r="D216" i="5"/>
  <c r="I256" i="7"/>
  <c r="F23" i="5"/>
  <c r="D178" i="5"/>
  <c r="E180" i="7"/>
  <c r="M254" i="5"/>
  <c r="I180" i="5"/>
  <c r="F63" i="5"/>
  <c r="D182" i="2"/>
  <c r="G23" i="7"/>
  <c r="G140" i="7"/>
  <c r="I101" i="7"/>
  <c r="I294" i="7"/>
  <c r="E99" i="7"/>
  <c r="J256" i="5"/>
  <c r="H218" i="5"/>
  <c r="M292" i="7"/>
  <c r="F61" i="5"/>
  <c r="D63" i="5"/>
  <c r="J61" i="7"/>
  <c r="I63" i="5"/>
  <c r="I220" i="2"/>
  <c r="J218" i="2"/>
  <c r="J254" i="5"/>
  <c r="G256" i="5"/>
  <c r="J140" i="2"/>
  <c r="H256" i="5"/>
  <c r="K61" i="5"/>
  <c r="E294" i="7"/>
  <c r="M256" i="7"/>
  <c r="J220" i="2"/>
  <c r="L138" i="5"/>
  <c r="L216" i="5"/>
  <c r="L99" i="5"/>
  <c r="L61" i="5"/>
  <c r="G180" i="2"/>
  <c r="M140" i="7"/>
  <c r="D25" i="5"/>
  <c r="I142" i="2"/>
  <c r="G63" i="5"/>
  <c r="J59" i="2"/>
  <c r="K180" i="5"/>
  <c r="H294" i="5"/>
  <c r="J182" i="2"/>
  <c r="H218" i="2"/>
  <c r="M63" i="5"/>
  <c r="G294" i="5"/>
  <c r="K178" i="5"/>
  <c r="M292" i="5"/>
  <c r="G218" i="7"/>
  <c r="E256" i="5"/>
  <c r="M218" i="7"/>
  <c r="F218" i="2"/>
  <c r="K216" i="5"/>
  <c r="I294" i="5"/>
  <c r="M101" i="5"/>
  <c r="G99" i="5"/>
  <c r="H182" i="2"/>
  <c r="H138" i="5"/>
  <c r="I140" i="5"/>
  <c r="H220" i="2"/>
  <c r="E101" i="5"/>
  <c r="F220" i="2"/>
  <c r="D218" i="5"/>
  <c r="I216" i="5"/>
  <c r="K61" i="2"/>
  <c r="J25" i="5"/>
  <c r="H142" i="2"/>
  <c r="H59" i="2"/>
  <c r="E25" i="5"/>
  <c r="E138" i="7"/>
  <c r="F140" i="5"/>
  <c r="M138" i="5"/>
  <c r="H180" i="2"/>
  <c r="M23" i="7"/>
  <c r="I23" i="7"/>
  <c r="K142" i="2"/>
  <c r="E294" i="5"/>
  <c r="F256" i="5"/>
  <c r="G63" i="7"/>
  <c r="I140" i="2"/>
  <c r="I178" i="5"/>
  <c r="F61" i="2"/>
  <c r="I99" i="7"/>
  <c r="I25" i="5"/>
  <c r="E59" i="2"/>
  <c r="M178" i="7"/>
  <c r="K61" i="7"/>
  <c r="H178" i="5"/>
  <c r="L254" i="5"/>
  <c r="L294" i="5"/>
  <c r="K294" i="5"/>
  <c r="G180" i="5"/>
  <c r="K138" i="5"/>
  <c r="D59" i="2"/>
  <c r="G25" i="5"/>
  <c r="D256" i="5"/>
  <c r="G61" i="5"/>
  <c r="K59" i="2"/>
  <c r="M99" i="5"/>
  <c r="K140" i="2"/>
  <c r="G101" i="5"/>
  <c r="E140" i="7"/>
  <c r="I292" i="7"/>
  <c r="E138" i="5"/>
  <c r="M63" i="7"/>
  <c r="K254" i="5"/>
  <c r="I216" i="7"/>
  <c r="F182" i="2"/>
  <c r="E142" i="2"/>
  <c r="G101" i="7"/>
  <c r="M294" i="7"/>
  <c r="J101" i="5"/>
  <c r="G216" i="7"/>
  <c r="M140" i="2"/>
  <c r="G23" i="5"/>
  <c r="M142" i="2"/>
  <c r="J180" i="5"/>
  <c r="M25" i="5"/>
  <c r="I25" i="7"/>
  <c r="D61" i="7"/>
  <c r="J61" i="5"/>
  <c r="F218" i="5"/>
  <c r="E254" i="5"/>
  <c r="E292" i="7"/>
  <c r="M61" i="5"/>
  <c r="I101" i="5"/>
  <c r="M23" i="5"/>
  <c r="L256" i="5"/>
  <c r="L178" i="5"/>
  <c r="H180" i="5"/>
  <c r="G292" i="7"/>
  <c r="J142" i="2"/>
  <c r="D99" i="5"/>
  <c r="M218" i="2"/>
  <c r="G180" i="7"/>
  <c r="G142" i="2"/>
  <c r="F25" i="5"/>
  <c r="G182" i="2"/>
  <c r="E140" i="5"/>
  <c r="D101" i="5"/>
  <c r="I61" i="2"/>
  <c r="E292" i="5"/>
  <c r="I182" i="2"/>
  <c r="H101" i="5"/>
  <c r="F254" i="5"/>
  <c r="E218" i="7"/>
  <c r="M182" i="2"/>
  <c r="I254" i="5"/>
  <c r="K180" i="2"/>
  <c r="J180" i="2"/>
  <c r="I23" i="5"/>
  <c r="F59" i="2"/>
  <c r="H23" i="5"/>
  <c r="D180" i="5"/>
  <c r="J292" i="5"/>
  <c r="G292" i="5"/>
  <c r="I218" i="7"/>
  <c r="L182" i="2"/>
  <c r="D61" i="5"/>
  <c r="K292" i="5"/>
  <c r="H216" i="5"/>
  <c r="L140" i="2"/>
  <c r="E216" i="5"/>
  <c r="D140" i="2"/>
  <c r="M138" i="7"/>
  <c r="E99" i="5"/>
  <c r="G216" i="5"/>
  <c r="M216" i="5"/>
  <c r="F101" i="5"/>
  <c r="H99" i="5"/>
  <c r="K99" i="5"/>
  <c r="E180" i="5"/>
  <c r="E216" i="7"/>
  <c r="L292" i="5"/>
  <c r="L218" i="5"/>
  <c r="H140" i="5"/>
  <c r="E218" i="2"/>
  <c r="I138" i="7"/>
  <c r="F180" i="5"/>
  <c r="K256" i="5"/>
  <c r="M178" i="5"/>
  <c r="H61" i="2"/>
  <c r="L61" i="7"/>
  <c r="J294" i="5"/>
  <c r="G178" i="5"/>
  <c r="F294" i="5"/>
  <c r="I59" i="2"/>
  <c r="K23" i="5"/>
  <c r="M140" i="5"/>
  <c r="K25" i="5"/>
  <c r="D61" i="2"/>
  <c r="K182" i="2"/>
  <c r="F178" i="5"/>
  <c r="H61" i="5"/>
  <c r="K101" i="5"/>
  <c r="M256" i="5"/>
  <c r="D140" i="5"/>
  <c r="H25" i="5"/>
  <c r="J138" i="5"/>
  <c r="E25" i="7"/>
  <c r="G140" i="5"/>
  <c r="F216" i="5"/>
  <c r="E256" i="7"/>
  <c r="H61" i="7"/>
  <c r="I99" i="5"/>
  <c r="E178" i="7"/>
  <c r="D254" i="5"/>
  <c r="G140" i="2"/>
  <c r="E180" i="2"/>
  <c r="F142" i="2"/>
  <c r="F180" i="2"/>
  <c r="I61" i="5"/>
  <c r="J99" i="5"/>
  <c r="L142" i="2"/>
  <c r="K218" i="5"/>
  <c r="L180" i="5"/>
  <c r="L25" i="5"/>
  <c r="G25" i="7"/>
  <c r="F138" i="5"/>
  <c r="J140" i="5"/>
  <c r="F99" i="5"/>
  <c r="J178" i="5"/>
  <c r="F140" i="2"/>
  <c r="H292" i="5"/>
  <c r="D218" i="2"/>
  <c r="D220" i="2"/>
  <c r="I180" i="2"/>
  <c r="H140" i="2"/>
  <c r="E23" i="5"/>
  <c r="G99" i="7"/>
  <c r="E63" i="5"/>
  <c r="I218" i="2"/>
  <c r="D180" i="2"/>
  <c r="J216" i="5"/>
  <c r="D142" i="2"/>
  <c r="M101" i="7"/>
  <c r="I178" i="7"/>
  <c r="G254" i="7"/>
  <c r="I138" i="5"/>
  <c r="G256" i="7"/>
  <c r="H254" i="5"/>
  <c r="E178" i="5"/>
  <c r="I180" i="7"/>
  <c r="K140" i="5"/>
  <c r="M218" i="5"/>
  <c r="M180" i="2"/>
  <c r="F292" i="5"/>
  <c r="D23" i="5"/>
  <c r="E140" i="2"/>
  <c r="E101" i="7"/>
  <c r="G61" i="7"/>
  <c r="K63" i="5"/>
  <c r="E61" i="2"/>
  <c r="D294" i="5"/>
  <c r="D19" i="2" l="1"/>
  <c r="G9" i="7"/>
  <c r="H19" i="2"/>
  <c r="H138" i="2" s="1"/>
  <c r="G9" i="5"/>
  <c r="I19" i="2"/>
  <c r="M19" i="2"/>
  <c r="M57" i="2" s="1"/>
  <c r="L19" i="2"/>
  <c r="L21" i="5" s="1"/>
  <c r="C21" i="2"/>
  <c r="C23" i="5" s="1"/>
  <c r="C61" i="5" s="1"/>
  <c r="C99" i="5" s="1"/>
  <c r="C138" i="5" s="1"/>
  <c r="C178" i="5" s="1"/>
  <c r="C216" i="5" s="1"/>
  <c r="C254" i="5" s="1"/>
  <c r="C292" i="5" s="1"/>
  <c r="E19" i="2"/>
  <c r="G19" i="2"/>
  <c r="G57" i="2" s="1"/>
  <c r="G99" i="2" s="1"/>
  <c r="F19" i="2"/>
  <c r="F57" i="2" s="1"/>
  <c r="F99" i="2" s="1"/>
  <c r="K19" i="2"/>
  <c r="K178" i="2" s="1"/>
  <c r="J19" i="2"/>
  <c r="C22" i="2"/>
  <c r="C24" i="7" s="1"/>
  <c r="C62" i="7" s="1"/>
  <c r="C100" i="7" s="1"/>
  <c r="C139" i="7" s="1"/>
  <c r="C179" i="7" s="1"/>
  <c r="C217" i="7" s="1"/>
  <c r="C255" i="7" s="1"/>
  <c r="C293" i="7" s="1"/>
  <c r="G9" i="2"/>
  <c r="M215" i="7"/>
  <c r="M60" i="7"/>
  <c r="E291" i="7"/>
  <c r="E177" i="7"/>
  <c r="E60" i="7"/>
  <c r="M177" i="7"/>
  <c r="E137" i="7"/>
  <c r="I215" i="7"/>
  <c r="I60" i="7"/>
  <c r="I253" i="7"/>
  <c r="H137" i="5"/>
  <c r="H253" i="5"/>
  <c r="H177" i="5"/>
  <c r="H215" i="5"/>
  <c r="M291" i="7"/>
  <c r="E253" i="7"/>
  <c r="H60" i="5"/>
  <c r="H98" i="5" s="1"/>
  <c r="G215" i="7"/>
  <c r="L58" i="2"/>
  <c r="L217" i="2"/>
  <c r="L60" i="5"/>
  <c r="L98" i="5" s="1"/>
  <c r="J291" i="5"/>
  <c r="H291" i="5"/>
  <c r="K100" i="2"/>
  <c r="M253" i="7"/>
  <c r="E177" i="5"/>
  <c r="E137" i="5"/>
  <c r="I137" i="5"/>
  <c r="I177" i="5"/>
  <c r="E100" i="2"/>
  <c r="I177" i="7"/>
  <c r="I100" i="2"/>
  <c r="J100" i="2"/>
  <c r="M291" i="5"/>
  <c r="D177" i="5"/>
  <c r="D253" i="5"/>
  <c r="D215" i="5"/>
  <c r="D137" i="5"/>
  <c r="I291" i="7"/>
  <c r="M177" i="5"/>
  <c r="I137" i="7"/>
  <c r="M137" i="5"/>
  <c r="F253" i="5"/>
  <c r="F291" i="5"/>
  <c r="H100" i="2"/>
  <c r="D100" i="2"/>
  <c r="F137" i="5"/>
  <c r="F215" i="5"/>
  <c r="J215" i="5"/>
  <c r="F100" i="2"/>
  <c r="G291" i="5"/>
  <c r="G215" i="5"/>
  <c r="G137" i="5"/>
  <c r="G177" i="5"/>
  <c r="G60" i="5"/>
  <c r="G98" i="5" s="1"/>
  <c r="K291" i="5"/>
  <c r="K215" i="5"/>
  <c r="K137" i="5"/>
  <c r="K177" i="5"/>
  <c r="K60" i="5"/>
  <c r="K98" i="5" s="1"/>
  <c r="G98" i="7"/>
  <c r="K253" i="5"/>
  <c r="E253" i="5"/>
  <c r="E60" i="5"/>
  <c r="E98" i="5" s="1"/>
  <c r="E291" i="5"/>
  <c r="E215" i="5"/>
  <c r="I253" i="5"/>
  <c r="I291" i="5"/>
  <c r="I60" i="5"/>
  <c r="I98" i="5" s="1"/>
  <c r="I215" i="5"/>
  <c r="D60" i="5"/>
  <c r="D98" i="5" s="1"/>
  <c r="I98" i="7"/>
  <c r="E98" i="7"/>
  <c r="M98" i="7"/>
  <c r="J98" i="7"/>
  <c r="L98" i="7"/>
  <c r="D98" i="7"/>
  <c r="K98" i="7"/>
  <c r="H98" i="7"/>
  <c r="G138" i="2"/>
  <c r="G21" i="7"/>
  <c r="G178" i="2"/>
  <c r="G21" i="5"/>
  <c r="M216" i="2"/>
  <c r="M21" i="5"/>
  <c r="M138" i="2"/>
  <c r="M178" i="2"/>
  <c r="L178" i="2"/>
  <c r="L216" i="2"/>
  <c r="L138" i="2"/>
  <c r="J216" i="2"/>
  <c r="J138" i="2"/>
  <c r="J21" i="5"/>
  <c r="J178" i="2"/>
  <c r="J21" i="7"/>
  <c r="J57" i="2"/>
  <c r="J99" i="2" s="1"/>
  <c r="K216" i="2"/>
  <c r="D138" i="2"/>
  <c r="D21" i="7"/>
  <c r="D57" i="2"/>
  <c r="D99" i="2" s="1"/>
  <c r="D178" i="2"/>
  <c r="D216" i="2"/>
  <c r="D21" i="5"/>
  <c r="G12" i="2"/>
  <c r="F13" i="2"/>
  <c r="M14" i="2" s="1"/>
  <c r="C60" i="2"/>
  <c r="C102" i="2" s="1"/>
  <c r="C141" i="2" s="1"/>
  <c r="C181" i="2" s="1"/>
  <c r="C219" i="2" s="1"/>
  <c r="I138" i="2"/>
  <c r="I57" i="2"/>
  <c r="I99" i="2" s="1"/>
  <c r="I178" i="2"/>
  <c r="I21" i="7"/>
  <c r="I21" i="5"/>
  <c r="I216" i="2"/>
  <c r="O21" i="2"/>
  <c r="H21" i="7"/>
  <c r="H21" i="5"/>
  <c r="F21" i="7"/>
  <c r="F178" i="2"/>
  <c r="F21" i="5"/>
  <c r="F138" i="2"/>
  <c r="E138" i="2"/>
  <c r="E57" i="2"/>
  <c r="E99" i="2" s="1"/>
  <c r="E21" i="5"/>
  <c r="E216" i="2"/>
  <c r="E178" i="2"/>
  <c r="E21" i="7"/>
  <c r="M61" i="7"/>
  <c r="K102" i="2"/>
  <c r="K103" i="2"/>
  <c r="D102" i="2"/>
  <c r="F103" i="2"/>
  <c r="I102" i="2"/>
  <c r="J102" i="2"/>
  <c r="L61" i="2"/>
  <c r="L59" i="2"/>
  <c r="G62" i="7"/>
  <c r="I255" i="7"/>
  <c r="L62" i="7"/>
  <c r="G255" i="7"/>
  <c r="G100" i="7"/>
  <c r="J100" i="7"/>
  <c r="M293" i="7"/>
  <c r="I24" i="7"/>
  <c r="H179" i="7"/>
  <c r="I100" i="7"/>
  <c r="M24" i="7"/>
  <c r="E293" i="7"/>
  <c r="E24" i="7"/>
  <c r="E179" i="7"/>
  <c r="M255" i="7"/>
  <c r="D100" i="7"/>
  <c r="L24" i="7"/>
  <c r="E139" i="7"/>
  <c r="E100" i="7"/>
  <c r="H255" i="7"/>
  <c r="K255" i="7"/>
  <c r="F293" i="7"/>
  <c r="D293" i="7"/>
  <c r="L100" i="7"/>
  <c r="M139" i="7"/>
  <c r="M100" i="7"/>
  <c r="L179" i="7"/>
  <c r="H293" i="7"/>
  <c r="G179" i="7"/>
  <c r="H9" i="7"/>
  <c r="L139" i="7"/>
  <c r="I217" i="7"/>
  <c r="L217" i="7"/>
  <c r="F100" i="7"/>
  <c r="K24" i="7"/>
  <c r="H100" i="7"/>
  <c r="J255" i="7"/>
  <c r="J62" i="7"/>
  <c r="K217" i="7"/>
  <c r="K179" i="7"/>
  <c r="J139" i="7"/>
  <c r="K100" i="7"/>
  <c r="H62" i="7"/>
  <c r="G139" i="7"/>
  <c r="E62" i="7"/>
  <c r="I293" i="7"/>
  <c r="J179" i="7"/>
  <c r="D179" i="7"/>
  <c r="D139" i="7"/>
  <c r="E217" i="7"/>
  <c r="I139" i="7"/>
  <c r="K293" i="7"/>
  <c r="D24" i="7"/>
  <c r="H139" i="7"/>
  <c r="H217" i="7"/>
  <c r="K139" i="7"/>
  <c r="D62" i="7"/>
  <c r="I179" i="7"/>
  <c r="M179" i="7"/>
  <c r="H24" i="7"/>
  <c r="G217" i="7"/>
  <c r="F217" i="7"/>
  <c r="G293" i="7"/>
  <c r="F62" i="7"/>
  <c r="M62" i="7"/>
  <c r="F255" i="7"/>
  <c r="J293" i="7"/>
  <c r="F139" i="7"/>
  <c r="M217" i="7"/>
  <c r="K62" i="7"/>
  <c r="I62" i="7"/>
  <c r="D255" i="7"/>
  <c r="F24" i="7"/>
  <c r="E255" i="7"/>
  <c r="L255" i="7"/>
  <c r="F179" i="7"/>
  <c r="J24" i="7"/>
  <c r="D217" i="7"/>
  <c r="G24" i="7"/>
  <c r="J217" i="7"/>
  <c r="L293" i="7"/>
  <c r="J22" i="2"/>
  <c r="F141" i="2"/>
  <c r="I22" i="2"/>
  <c r="K141" i="2"/>
  <c r="D22" i="2"/>
  <c r="D60" i="2"/>
  <c r="I141" i="2"/>
  <c r="G102" i="2"/>
  <c r="J219" i="2"/>
  <c r="G22" i="2"/>
  <c r="H141" i="2"/>
  <c r="H22" i="2"/>
  <c r="M22" i="2"/>
  <c r="L60" i="2"/>
  <c r="G181" i="2"/>
  <c r="E219" i="2"/>
  <c r="M141" i="2"/>
  <c r="D181" i="2"/>
  <c r="K219" i="2"/>
  <c r="M181" i="2"/>
  <c r="L219" i="2"/>
  <c r="H60" i="2"/>
  <c r="K60" i="2"/>
  <c r="I181" i="2"/>
  <c r="L22" i="2"/>
  <c r="H219" i="2"/>
  <c r="E60" i="2"/>
  <c r="M219" i="2"/>
  <c r="M60" i="2"/>
  <c r="D141" i="2"/>
  <c r="F60" i="2"/>
  <c r="M102" i="2"/>
  <c r="J60" i="2"/>
  <c r="K181" i="2"/>
  <c r="D219" i="2"/>
  <c r="F22" i="2"/>
  <c r="G60" i="2"/>
  <c r="F181" i="2"/>
  <c r="I219" i="2"/>
  <c r="G141" i="2"/>
  <c r="J141" i="2"/>
  <c r="L141" i="2"/>
  <c r="E181" i="2"/>
  <c r="L181" i="2"/>
  <c r="F219" i="2"/>
  <c r="K22" i="2"/>
  <c r="E141" i="2"/>
  <c r="J181" i="2"/>
  <c r="H181" i="2"/>
  <c r="H9" i="2"/>
  <c r="I60" i="2"/>
  <c r="G219" i="2"/>
  <c r="E22" i="2"/>
  <c r="L220" i="2"/>
  <c r="L218" i="2"/>
  <c r="K101" i="2"/>
  <c r="E102" i="2"/>
  <c r="H101" i="2"/>
  <c r="J103" i="2"/>
  <c r="I101" i="2"/>
  <c r="F101" i="2"/>
  <c r="E103" i="2"/>
  <c r="J101" i="2"/>
  <c r="D103" i="2"/>
  <c r="E101" i="2"/>
  <c r="I103" i="2"/>
  <c r="H102" i="2"/>
  <c r="I139" i="5"/>
  <c r="H139" i="5"/>
  <c r="D62" i="5"/>
  <c r="E179" i="5"/>
  <c r="L139" i="5"/>
  <c r="E24" i="5"/>
  <c r="G179" i="5"/>
  <c r="J293" i="5"/>
  <c r="K139" i="5"/>
  <c r="E139" i="5"/>
  <c r="I293" i="5"/>
  <c r="H100" i="5"/>
  <c r="I100" i="5"/>
  <c r="L255" i="5"/>
  <c r="M255" i="5"/>
  <c r="F293" i="5"/>
  <c r="E255" i="5"/>
  <c r="J179" i="5"/>
  <c r="J139" i="5"/>
  <c r="I255" i="5"/>
  <c r="G24" i="5"/>
  <c r="H62" i="5"/>
  <c r="E100" i="5"/>
  <c r="E293" i="5"/>
  <c r="M139" i="5"/>
  <c r="L62" i="5"/>
  <c r="J62" i="5"/>
  <c r="G217" i="5"/>
  <c r="I179" i="5"/>
  <c r="J100" i="5"/>
  <c r="K62" i="5"/>
  <c r="M100" i="5"/>
  <c r="E62" i="5"/>
  <c r="F100" i="5"/>
  <c r="I217" i="5"/>
  <c r="H179" i="5"/>
  <c r="J24" i="5"/>
  <c r="K100" i="5"/>
  <c r="K24" i="5"/>
  <c r="I24" i="5"/>
  <c r="D217" i="5"/>
  <c r="F139" i="5"/>
  <c r="K217" i="5"/>
  <c r="M293" i="5"/>
  <c r="I62" i="5"/>
  <c r="G62" i="5"/>
  <c r="H9" i="5"/>
  <c r="H293" i="5"/>
  <c r="H217" i="5"/>
  <c r="K179" i="5"/>
  <c r="D179" i="5"/>
  <c r="D24" i="5"/>
  <c r="L100" i="5"/>
  <c r="J217" i="5"/>
  <c r="D293" i="5"/>
  <c r="M24" i="5"/>
  <c r="F62" i="5"/>
  <c r="M217" i="5"/>
  <c r="K293" i="5"/>
  <c r="F255" i="5"/>
  <c r="L179" i="5"/>
  <c r="D139" i="5"/>
  <c r="F217" i="5"/>
  <c r="G139" i="5"/>
  <c r="H24" i="5"/>
  <c r="G100" i="5"/>
  <c r="G293" i="5"/>
  <c r="M62" i="5"/>
  <c r="L24" i="5"/>
  <c r="G255" i="5"/>
  <c r="K255" i="5"/>
  <c r="D100" i="5"/>
  <c r="F179" i="5"/>
  <c r="E217" i="5"/>
  <c r="F24" i="5"/>
  <c r="J255" i="5"/>
  <c r="D255" i="5"/>
  <c r="M179" i="5"/>
  <c r="L217" i="5"/>
  <c r="H255" i="5"/>
  <c r="L293" i="5"/>
  <c r="E61" i="7"/>
  <c r="I61" i="7"/>
  <c r="F102" i="2"/>
  <c r="D101" i="2"/>
  <c r="H103" i="2"/>
  <c r="K21" i="5" l="1"/>
  <c r="F216" i="2"/>
  <c r="H57" i="2"/>
  <c r="H99" i="2" s="1"/>
  <c r="H178" i="2"/>
  <c r="O181" i="2" s="1"/>
  <c r="K21" i="7"/>
  <c r="L57" i="2"/>
  <c r="L99" i="2" s="1"/>
  <c r="H216" i="2"/>
  <c r="O218" i="2" s="1"/>
  <c r="C24" i="5"/>
  <c r="C62" i="5" s="1"/>
  <c r="C100" i="5" s="1"/>
  <c r="C139" i="5" s="1"/>
  <c r="C179" i="5" s="1"/>
  <c r="C217" i="5" s="1"/>
  <c r="C255" i="5" s="1"/>
  <c r="C293" i="5" s="1"/>
  <c r="K57" i="2"/>
  <c r="K99" i="2" s="1"/>
  <c r="L21" i="7"/>
  <c r="G216" i="2"/>
  <c r="C23" i="7"/>
  <c r="C61" i="7" s="1"/>
  <c r="C99" i="7" s="1"/>
  <c r="C138" i="7" s="1"/>
  <c r="C178" i="7" s="1"/>
  <c r="C216" i="7" s="1"/>
  <c r="C254" i="7" s="1"/>
  <c r="C292" i="7" s="1"/>
  <c r="O22" i="2"/>
  <c r="N21" i="2" s="1"/>
  <c r="K138" i="2"/>
  <c r="C59" i="2"/>
  <c r="C101" i="2" s="1"/>
  <c r="C140" i="2" s="1"/>
  <c r="C180" i="2" s="1"/>
  <c r="C218" i="2" s="1"/>
  <c r="L100" i="2"/>
  <c r="M21" i="7"/>
  <c r="M176" i="7" s="1"/>
  <c r="E214" i="5"/>
  <c r="E59" i="5"/>
  <c r="E97" i="5" s="1"/>
  <c r="E290" i="5"/>
  <c r="E176" i="5"/>
  <c r="E252" i="5"/>
  <c r="E136" i="5"/>
  <c r="F252" i="5"/>
  <c r="F290" i="5"/>
  <c r="F136" i="5"/>
  <c r="F176" i="5"/>
  <c r="F214" i="5"/>
  <c r="F59" i="5"/>
  <c r="F97" i="5" s="1"/>
  <c r="F252" i="7"/>
  <c r="F136" i="7"/>
  <c r="F290" i="7"/>
  <c r="F59" i="7"/>
  <c r="F97" i="7" s="1"/>
  <c r="F176" i="7"/>
  <c r="F214" i="7"/>
  <c r="H252" i="7"/>
  <c r="H290" i="7"/>
  <c r="H136" i="7"/>
  <c r="H59" i="7"/>
  <c r="H97" i="7" s="1"/>
  <c r="H214" i="7"/>
  <c r="H176" i="7"/>
  <c r="I290" i="7"/>
  <c r="I136" i="7"/>
  <c r="I252" i="7"/>
  <c r="I176" i="7"/>
  <c r="I214" i="7"/>
  <c r="I59" i="7"/>
  <c r="I97" i="7" s="1"/>
  <c r="G13" i="2"/>
  <c r="L14" i="2" s="1"/>
  <c r="H12" i="2"/>
  <c r="K214" i="7"/>
  <c r="K252" i="7"/>
  <c r="K136" i="7"/>
  <c r="K176" i="7"/>
  <c r="K59" i="7"/>
  <c r="K97" i="7" s="1"/>
  <c r="K290" i="7"/>
  <c r="J59" i="7"/>
  <c r="J97" i="7" s="1"/>
  <c r="J136" i="7"/>
  <c r="J176" i="7"/>
  <c r="J290" i="7"/>
  <c r="J214" i="7"/>
  <c r="J252" i="7"/>
  <c r="J136" i="5"/>
  <c r="J290" i="5"/>
  <c r="J214" i="5"/>
  <c r="J176" i="5"/>
  <c r="J252" i="5"/>
  <c r="J59" i="5"/>
  <c r="J97" i="5" s="1"/>
  <c r="M214" i="7"/>
  <c r="M136" i="7"/>
  <c r="M59" i="7"/>
  <c r="M290" i="7"/>
  <c r="M252" i="7"/>
  <c r="O24" i="7"/>
  <c r="M252" i="5"/>
  <c r="M176" i="5"/>
  <c r="M136" i="5"/>
  <c r="M214" i="5"/>
  <c r="M59" i="5"/>
  <c r="M290" i="5"/>
  <c r="O23" i="5"/>
  <c r="O24" i="5"/>
  <c r="M99" i="2"/>
  <c r="O60" i="2"/>
  <c r="O59" i="2"/>
  <c r="E290" i="7"/>
  <c r="E176" i="7"/>
  <c r="E59" i="7"/>
  <c r="E97" i="7" s="1"/>
  <c r="E136" i="7"/>
  <c r="E252" i="7"/>
  <c r="E214" i="7"/>
  <c r="H136" i="5"/>
  <c r="H214" i="5"/>
  <c r="H290" i="5"/>
  <c r="H252" i="5"/>
  <c r="H176" i="5"/>
  <c r="H59" i="5"/>
  <c r="H97" i="5" s="1"/>
  <c r="I176" i="5"/>
  <c r="I214" i="5"/>
  <c r="I59" i="5"/>
  <c r="I97" i="5" s="1"/>
  <c r="I290" i="5"/>
  <c r="I252" i="5"/>
  <c r="I136" i="5"/>
  <c r="D252" i="5"/>
  <c r="D136" i="5"/>
  <c r="D59" i="5"/>
  <c r="D97" i="5" s="1"/>
  <c r="D214" i="5"/>
  <c r="D176" i="5"/>
  <c r="D290" i="5"/>
  <c r="D214" i="7"/>
  <c r="D290" i="7"/>
  <c r="D252" i="7"/>
  <c r="D59" i="7"/>
  <c r="D97" i="7" s="1"/>
  <c r="D176" i="7"/>
  <c r="D136" i="7"/>
  <c r="K176" i="5"/>
  <c r="K214" i="5"/>
  <c r="K136" i="5"/>
  <c r="K59" i="5"/>
  <c r="K97" i="5" s="1"/>
  <c r="K252" i="5"/>
  <c r="K290" i="5"/>
  <c r="L290" i="7"/>
  <c r="L214" i="7"/>
  <c r="L136" i="7"/>
  <c r="L252" i="7"/>
  <c r="L59" i="7"/>
  <c r="L97" i="7" s="1"/>
  <c r="L176" i="7"/>
  <c r="L252" i="5"/>
  <c r="L59" i="5"/>
  <c r="L97" i="5" s="1"/>
  <c r="L136" i="5"/>
  <c r="L176" i="5"/>
  <c r="L290" i="5"/>
  <c r="L214" i="5"/>
  <c r="O141" i="2"/>
  <c r="O140" i="2"/>
  <c r="O219" i="2"/>
  <c r="G176" i="5"/>
  <c r="G252" i="5"/>
  <c r="G59" i="5"/>
  <c r="G97" i="5" s="1"/>
  <c r="G290" i="5"/>
  <c r="G136" i="5"/>
  <c r="G214" i="5"/>
  <c r="G176" i="7"/>
  <c r="G136" i="7"/>
  <c r="G290" i="7"/>
  <c r="G59" i="7"/>
  <c r="G97" i="7" s="1"/>
  <c r="G252" i="7"/>
  <c r="G214" i="7"/>
  <c r="L102" i="2"/>
  <c r="L103" i="2"/>
  <c r="L101" i="2"/>
  <c r="O180" i="2" l="1"/>
  <c r="O23" i="7"/>
  <c r="O292" i="5"/>
  <c r="O293" i="5"/>
  <c r="O216" i="5"/>
  <c r="O217" i="5"/>
  <c r="O179" i="5"/>
  <c r="O178" i="5"/>
  <c r="O255" i="7"/>
  <c r="O254" i="7"/>
  <c r="M97" i="7"/>
  <c r="O61" i="7"/>
  <c r="O62" i="7"/>
  <c r="O139" i="7"/>
  <c r="O138" i="7"/>
  <c r="H13" i="2"/>
  <c r="K14" i="2" s="1"/>
  <c r="I12" i="2"/>
  <c r="N140" i="2"/>
  <c r="N59" i="2"/>
  <c r="O102" i="2"/>
  <c r="O101" i="2"/>
  <c r="N23" i="5"/>
  <c r="M97" i="5"/>
  <c r="O61" i="5"/>
  <c r="O62" i="5"/>
  <c r="O138" i="5"/>
  <c r="O139" i="5"/>
  <c r="O254" i="5"/>
  <c r="O255" i="5"/>
  <c r="N23" i="7"/>
  <c r="O293" i="7"/>
  <c r="O292" i="7"/>
  <c r="O179" i="7"/>
  <c r="O178" i="7"/>
  <c r="O217" i="7"/>
  <c r="O216" i="7"/>
  <c r="N61" i="5" l="1"/>
  <c r="N178" i="7"/>
  <c r="N216" i="7"/>
  <c r="N292" i="7"/>
  <c r="N254" i="5"/>
  <c r="N138" i="5"/>
  <c r="N61" i="7"/>
  <c r="N254" i="7"/>
  <c r="N178" i="5"/>
  <c r="O100" i="5"/>
  <c r="O99" i="5"/>
  <c r="N101" i="2"/>
  <c r="J12" i="2"/>
  <c r="I13" i="2"/>
  <c r="J14" i="2" s="1"/>
  <c r="N138" i="7"/>
  <c r="O100" i="7"/>
  <c r="O99" i="7"/>
  <c r="N216" i="5"/>
  <c r="N292" i="5"/>
  <c r="N99" i="7" l="1"/>
  <c r="N99" i="5"/>
  <c r="J13" i="2"/>
  <c r="I14" i="2" s="1"/>
  <c r="K12" i="2"/>
  <c r="L12" i="2" l="1"/>
  <c r="K13" i="2"/>
  <c r="H14" i="2" s="1"/>
  <c r="M12" i="2" l="1"/>
  <c r="L13" i="2"/>
  <c r="G14" i="2" s="1"/>
  <c r="N12" i="2" l="1"/>
  <c r="M13" i="2"/>
  <c r="F14" i="2" s="1"/>
  <c r="N13" i="2" l="1"/>
  <c r="E14" i="2" s="1"/>
  <c r="O12" i="2"/>
  <c r="O13" i="2" s="1"/>
  <c r="D14" i="2" s="1"/>
</calcChain>
</file>

<file path=xl/sharedStrings.xml><?xml version="1.0" encoding="utf-8"?>
<sst xmlns="http://schemas.openxmlformats.org/spreadsheetml/2006/main" count="283" uniqueCount="215">
  <si>
    <t>股票代码</t>
    <phoneticPr fontId="1" type="noConversion"/>
  </si>
  <si>
    <t>股票代码</t>
    <phoneticPr fontId="1" type="noConversion"/>
  </si>
  <si>
    <t>上市时间</t>
    <phoneticPr fontId="1" type="noConversion"/>
  </si>
  <si>
    <t>10年倒序</t>
    <phoneticPr fontId="1" type="noConversion"/>
  </si>
  <si>
    <t>钢铁</t>
  </si>
  <si>
    <t>综合</t>
  </si>
  <si>
    <t>代码</t>
    <phoneticPr fontId="1" type="noConversion"/>
  </si>
  <si>
    <t>名称</t>
    <phoneticPr fontId="1" type="noConversion"/>
  </si>
  <si>
    <t>股票名称</t>
    <phoneticPr fontId="1" type="noConversion"/>
  </si>
  <si>
    <t>流动比率</t>
    <phoneticPr fontId="1" type="noConversion"/>
  </si>
  <si>
    <t>L</t>
    <phoneticPr fontId="1" type="noConversion"/>
  </si>
  <si>
    <t>S</t>
    <phoneticPr fontId="1" type="noConversion"/>
  </si>
  <si>
    <t>速动比率</t>
    <phoneticPr fontId="1" type="noConversion"/>
  </si>
  <si>
    <t xml:space="preserve">   流动比率是流动资产对流动负债的比率，用来衡量企业流动资产在短期债务到期以前，可以变为现金用于偿还负债的能力。一般说来，比率越高，说明企业资产的变现能力越强，短期偿债能力亦越强；反之则弱。</t>
    <phoneticPr fontId="1" type="noConversion"/>
  </si>
  <si>
    <t>东财行业</t>
    <phoneticPr fontId="1" type="noConversion"/>
  </si>
  <si>
    <t>东财行业代码</t>
    <phoneticPr fontId="1" type="noConversion"/>
  </si>
  <si>
    <t>农业</t>
  </si>
  <si>
    <t>林业</t>
  </si>
  <si>
    <t>畜牧业</t>
  </si>
  <si>
    <t>渔业</t>
  </si>
  <si>
    <t>食品</t>
  </si>
  <si>
    <t>饮料</t>
  </si>
  <si>
    <t>纺织</t>
  </si>
  <si>
    <t>服装家纺</t>
  </si>
  <si>
    <t>造纸印刷</t>
  </si>
  <si>
    <t>家具</t>
  </si>
  <si>
    <t>珠宝首饰</t>
  </si>
  <si>
    <t>文娱用品</t>
  </si>
  <si>
    <t>其他轻工</t>
  </si>
  <si>
    <t>石油天然气</t>
  </si>
  <si>
    <t>煤炭</t>
  </si>
  <si>
    <t>化学原料</t>
  </si>
  <si>
    <t>化肥农药</t>
  </si>
  <si>
    <t>合成纤维及树脂</t>
  </si>
  <si>
    <t>化学制品</t>
  </si>
  <si>
    <t>化学新材料</t>
  </si>
  <si>
    <t>橡胶制品</t>
  </si>
  <si>
    <t>铁矿石</t>
  </si>
  <si>
    <t>基本金属</t>
  </si>
  <si>
    <t>贵金属</t>
  </si>
  <si>
    <t>稀有金属</t>
  </si>
  <si>
    <t>金属非金属新材料</t>
  </si>
  <si>
    <t>通用设备</t>
  </si>
  <si>
    <t>专用设备</t>
  </si>
  <si>
    <t>金属制品</t>
  </si>
  <si>
    <t>机器人</t>
  </si>
  <si>
    <t>航空航天装备</t>
  </si>
  <si>
    <t>地面装备</t>
  </si>
  <si>
    <t>船舶与海洋装备</t>
  </si>
  <si>
    <t>汽车</t>
  </si>
  <si>
    <t>摩托车</t>
  </si>
  <si>
    <t>铁路设备</t>
  </si>
  <si>
    <t>其他交运设备</t>
  </si>
  <si>
    <t>轨道交通设备</t>
  </si>
  <si>
    <t>电机</t>
  </si>
  <si>
    <t>输变电设备</t>
  </si>
  <si>
    <t>电源设备</t>
  </si>
  <si>
    <t>其他电气设备</t>
  </si>
  <si>
    <t>白色家电</t>
  </si>
  <si>
    <t>视听器材</t>
  </si>
  <si>
    <t>小家电</t>
  </si>
  <si>
    <t>照明设备</t>
  </si>
  <si>
    <t>其他家电</t>
  </si>
  <si>
    <t>半导体</t>
  </si>
  <si>
    <t>电子元件</t>
  </si>
  <si>
    <t>电子器件</t>
  </si>
  <si>
    <t>电子设备制造</t>
  </si>
  <si>
    <t>光电子器件</t>
  </si>
  <si>
    <t>消费电子设备</t>
  </si>
  <si>
    <t>计算机硬件</t>
  </si>
  <si>
    <t>计算机软件</t>
  </si>
  <si>
    <t>通信设备</t>
  </si>
  <si>
    <t>通信运营</t>
  </si>
  <si>
    <t>卫星应用</t>
  </si>
  <si>
    <t>平面媒体</t>
  </si>
  <si>
    <t>广播电视</t>
  </si>
  <si>
    <t>营销服务</t>
  </si>
  <si>
    <t>影视动漫</t>
  </si>
  <si>
    <t>体育</t>
  </si>
  <si>
    <t>教育</t>
  </si>
  <si>
    <t>化学制药</t>
  </si>
  <si>
    <t>中药生产</t>
  </si>
  <si>
    <t>生物医药</t>
  </si>
  <si>
    <t>医疗器械</t>
  </si>
  <si>
    <t>医药商业</t>
  </si>
  <si>
    <t>医疗服务</t>
  </si>
  <si>
    <t>保健护理</t>
  </si>
  <si>
    <t>休闲服务</t>
  </si>
  <si>
    <t>生活服务</t>
  </si>
  <si>
    <t>专业服务</t>
  </si>
  <si>
    <t>零售</t>
  </si>
  <si>
    <t>贸易</t>
  </si>
  <si>
    <t>商业物业经营</t>
  </si>
  <si>
    <t>水泥</t>
  </si>
  <si>
    <t>玻璃</t>
  </si>
  <si>
    <t>陶瓷</t>
  </si>
  <si>
    <t>耐火材料</t>
  </si>
  <si>
    <t>其他建材</t>
  </si>
  <si>
    <t>建筑施工</t>
  </si>
  <si>
    <t>钢结构</t>
  </si>
  <si>
    <t>装修装饰</t>
  </si>
  <si>
    <t>基础建设</t>
  </si>
  <si>
    <t>航空机场</t>
  </si>
  <si>
    <t>港口航运</t>
  </si>
  <si>
    <t>公路铁路</t>
  </si>
  <si>
    <t>物流</t>
  </si>
  <si>
    <t>电力</t>
  </si>
  <si>
    <t>燃气</t>
  </si>
  <si>
    <t>水务</t>
  </si>
  <si>
    <t>环保</t>
  </si>
  <si>
    <t>银行</t>
  </si>
  <si>
    <t>非银行金融</t>
  </si>
  <si>
    <t>房地产开发</t>
  </si>
  <si>
    <t>房地产服务</t>
  </si>
  <si>
    <t>互联网服务</t>
  </si>
  <si>
    <t>互联网商务</t>
  </si>
  <si>
    <t>互联网金融</t>
  </si>
  <si>
    <t>互联网技术</t>
  </si>
  <si>
    <t>其他互联网应用</t>
  </si>
  <si>
    <t>该项评分</t>
    <phoneticPr fontId="1" type="noConversion"/>
  </si>
  <si>
    <t>产权比率</t>
    <phoneticPr fontId="1" type="noConversion"/>
  </si>
  <si>
    <t>C</t>
    <phoneticPr fontId="1" type="noConversion"/>
  </si>
  <si>
    <t xml:space="preserve">
 产权比率是负债总额与股东权益总额之比率，也叫作债务权益比率，是衡量长期偿债能力的指标之一。负债合计/归属于母公司的股东权益。产权比率越高，说明企业偿还长期债务的能力越弱；产权比率越低，说明企业偿还长期债务的能力越强。</t>
    <phoneticPr fontId="1" type="noConversion"/>
  </si>
  <si>
    <t>Z</t>
    <phoneticPr fontId="1" type="noConversion"/>
  </si>
  <si>
    <t>资产负债率</t>
    <phoneticPr fontId="1" type="noConversion"/>
  </si>
  <si>
    <t xml:space="preserve">  资产负债率这个指标反映债权人所提供的资本占全部资本的比例，也被称为举债经营比率。资产负债率=总负债  /总资产。
  表示公司总资产中有多少是通过负债筹集的，该指标是评价公司负债水平的综合指标。同时也是一项衡量公司利用债权人资金进行经营活动能力的指标，也反映债权人发放贷款的安全程度。
  如果资产负债比率达到100%或超过100%说明公司已经没有净资产或资不抵债。</t>
    <phoneticPr fontId="1" type="noConversion"/>
  </si>
  <si>
    <t>流动负债   /负债合计</t>
    <phoneticPr fontId="1" type="noConversion"/>
  </si>
  <si>
    <t>L</t>
    <phoneticPr fontId="1" type="noConversion"/>
  </si>
  <si>
    <t xml:space="preserve"> 流动负债是指在1年或者超过1年的一个营业周期内偿还的债务。该项表示短期负债在负债中的占比。无需评分。</t>
    <phoneticPr fontId="1" type="noConversion"/>
  </si>
  <si>
    <t>无需评分</t>
    <phoneticPr fontId="1" type="noConversion"/>
  </si>
  <si>
    <t>成分个数</t>
    <phoneticPr fontId="1" type="noConversion"/>
  </si>
  <si>
    <t>F</t>
    <phoneticPr fontId="1" type="noConversion"/>
  </si>
  <si>
    <t xml:space="preserve">  非流动负债又称为长期负债。是指偿还期在一年或者超过一年的一个营业周期以上的债务。该项表示长期负债在负债中的占比。无需评分。</t>
    <phoneticPr fontId="1" type="noConversion"/>
  </si>
  <si>
    <t>Y</t>
    <phoneticPr fontId="1" type="noConversion"/>
  </si>
  <si>
    <t xml:space="preserve">  应收帐款是企业流动资金的一个重要组成部分，它的及时收回与否，直接影响到企业资金的流动性和再生产过程的顺利进行。对于企业来讲，回收及时既可以节约资金，同时也说朗企业信用状况良好，不易发生坏帐损失。一般认为周转率越高越好，应收帐款周转次数越多，每次周转所需天数就越少，表明企业收帐速度快，坏帐损失少，偿债能力强。</t>
    <phoneticPr fontId="1" type="noConversion"/>
  </si>
  <si>
    <t>C</t>
    <phoneticPr fontId="1" type="noConversion"/>
  </si>
  <si>
    <t>存货周转率</t>
    <phoneticPr fontId="1" type="noConversion"/>
  </si>
  <si>
    <t xml:space="preserve">  存货周转率是对流动资产周转率的补充说明，通过存货周转率的计算与分析，可以测定企业一定时期内存货资产的周转速度，是反映企业购、产、销平衡效率的一种尺度。存货周转率越高，表明企业存货资产变现能力越强，存货及占用在存货上的资金周转速度越快。</t>
    <phoneticPr fontId="1" type="noConversion"/>
  </si>
  <si>
    <t>全市场</t>
    <phoneticPr fontId="1" type="noConversion"/>
  </si>
  <si>
    <t>全市场</t>
    <phoneticPr fontId="1" type="noConversion"/>
  </si>
  <si>
    <t>全市场</t>
    <phoneticPr fontId="1" type="noConversion"/>
  </si>
  <si>
    <t>固定资产周转率</t>
    <phoneticPr fontId="1" type="noConversion"/>
  </si>
  <si>
    <t>G</t>
    <phoneticPr fontId="1" type="noConversion"/>
  </si>
  <si>
    <t>该项评分</t>
    <phoneticPr fontId="1" type="noConversion"/>
  </si>
  <si>
    <t>全市场</t>
    <phoneticPr fontId="1" type="noConversion"/>
  </si>
  <si>
    <t xml:space="preserve">
  固定资产周转率主要用于分析对厂房、设备等固定资产的利用效率，比率越高，说明利用率越高，管理水平越好。如果固定资产周转率与同行业平均水平相比偏低，则说明企业对固定资产的利用率较低，可能会影响企业的获利能力。它反应了企业资产的利用程度.</t>
    <phoneticPr fontId="1" type="noConversion"/>
  </si>
  <si>
    <t>Z</t>
    <phoneticPr fontId="1" type="noConversion"/>
  </si>
  <si>
    <t>总资产周转率</t>
    <phoneticPr fontId="1" type="noConversion"/>
  </si>
  <si>
    <t>该项评分</t>
    <phoneticPr fontId="1" type="noConversion"/>
  </si>
  <si>
    <t>全市场</t>
    <phoneticPr fontId="1" type="noConversion"/>
  </si>
  <si>
    <t xml:space="preserve">  总资产周转率是企业一定时期的销售收入净额与平均资产总额之比,它是衡量资产投资规模与销售水平之间配比情况的指标。
  总资产周转率越高，说明企业销售能力越强,资产投资的效益越好。</t>
    <phoneticPr fontId="1" type="noConversion"/>
  </si>
  <si>
    <t>营业周期</t>
    <phoneticPr fontId="1" type="noConversion"/>
  </si>
  <si>
    <t>Y</t>
    <phoneticPr fontId="1" type="noConversion"/>
  </si>
  <si>
    <t xml:space="preserve">  一般情况下，营业周期短，说明资金周转速度快；营业周期长，说明资金周转速度慢。这就是营业周期与流动比率的关系。决定流动比率高低的主要因素是存货周转天数和应收账款周转天数。</t>
    <phoneticPr fontId="1" type="noConversion"/>
  </si>
  <si>
    <t>C</t>
    <phoneticPr fontId="1" type="noConversion"/>
  </si>
  <si>
    <t>存货周转天数</t>
    <phoneticPr fontId="1" type="noConversion"/>
  </si>
  <si>
    <t>该项评分</t>
    <phoneticPr fontId="1" type="noConversion"/>
  </si>
  <si>
    <t xml:space="preserve">  存货周转天数是指企业从取得存货开始，至消耗、销售为止所经历的天数。周转天数越少，说明存货变现的速度越快。民间非营利组织资金占用在存货的时间越短，存货管理工作的效率越高。</t>
    <phoneticPr fontId="1" type="noConversion"/>
  </si>
  <si>
    <t>年份计算</t>
    <phoneticPr fontId="1" type="noConversion"/>
  </si>
  <si>
    <t>2009-12-31</t>
  </si>
  <si>
    <t>2010-12-31</t>
  </si>
  <si>
    <t>2011-12-31</t>
  </si>
  <si>
    <t>2012-12-31</t>
  </si>
  <si>
    <t>2013-12-31</t>
  </si>
  <si>
    <t>2014-12-31</t>
  </si>
  <si>
    <t>2015-12-31</t>
  </si>
  <si>
    <t>2016-12-31</t>
  </si>
  <si>
    <t>2017-12-31</t>
  </si>
  <si>
    <t>应收账款
周转天数</t>
    <phoneticPr fontId="1" type="noConversion"/>
  </si>
  <si>
    <t xml:space="preserve">  应收账款周转天数是指企业从取得应收账款的权利到收回款项、转换为现金所需要的时间。 是应收账款周转率的一个辅助性指标，周转天数越短，说明流动资金使用效率越好。是衡量公司需要多长时间收回应收账款，属于公司经营能力分析范畴。</t>
    <phoneticPr fontId="1" type="noConversion"/>
  </si>
  <si>
    <t>应付账款
周转天数</t>
    <phoneticPr fontId="1" type="noConversion"/>
  </si>
  <si>
    <t xml:space="preserve">  通常应付账款周转天数越长越好，说明公司可以更多的占用供应商货款来补充营运资本而无需向银行短期借款。在同行业中，该比率较高的公司通常是市场地位较强，在行业内采购量巨大的公司，且信誉良好，所以才能在占用货款上拥有主动权。但在实际情况中，往往出现一边占用供应商货款，另一边客户又占用公司自己销售商品的货款，既应收账款，形成三角债，仍有可能导致公司营运资金紧张，这时就需要用现金周转周期来通盘考量公司销售的现金生成能力.</t>
    <phoneticPr fontId="1" type="noConversion"/>
  </si>
  <si>
    <t>X</t>
    <phoneticPr fontId="1" type="noConversion"/>
  </si>
  <si>
    <t>销售毛利率</t>
    <phoneticPr fontId="1" type="noConversion"/>
  </si>
  <si>
    <t xml:space="preserve">  销售毛利率是毛利占销售净值的百分比，通常称为毛利率。其中毛利是销售净收入与产品成本的差。销售毛利是销售净额与销售成本的差额，如果销售毛利率很低，表明企业没有足够多的毛利额，补偿期间费用后的盈利水平就不会高；也可能无法弥补期间费用，出现亏损局面。通过本指标可预测企业盈利能力。</t>
    <phoneticPr fontId="1" type="noConversion"/>
  </si>
  <si>
    <t>净资产     收益率</t>
    <phoneticPr fontId="1" type="noConversion"/>
  </si>
  <si>
    <t>J</t>
    <phoneticPr fontId="1" type="noConversion"/>
  </si>
  <si>
    <t xml:space="preserve">  净资产收益率，是净利润与平均股东权益的百分比，是公司税后利润除以净资产得到的百分比率，该指标反映股东权益的收益水平，用以衡量公司运用自有资本的效率。指标值越高，说明投资带来的收益越高。该指标体现了自有资本获得净收益的能力。</t>
    <phoneticPr fontId="1" type="noConversion"/>
  </si>
  <si>
    <t>销售净利率</t>
    <phoneticPr fontId="1" type="noConversion"/>
  </si>
  <si>
    <t xml:space="preserve">  该指标反映每一元销售收入带来的净利润的多少，表示销售收入的收益水平。它与净利润成正比关系，与销售收入成反比关系，企业在增加销售收入额的同时，必须相应地获得更多的净利润，才能使销售净利率保持不变或有所提高。通过分析销售净利率的升降变动，可以促使企业在扩大销售的同时，注意改进经营管理,提高盈利水平。一般的讲，该指标越大，说明企业销售的盈利能力越强。一个企业如果能保持良好的持续增长的销售净利率，应该讲企业的财务状况是好的，但并不能绝对的讲销售净利率越大越好，还必须看企业的销售增长情况和净利润的变动情况。</t>
    <phoneticPr fontId="1" type="noConversion"/>
  </si>
  <si>
    <t>X</t>
    <phoneticPr fontId="1" type="noConversion"/>
  </si>
  <si>
    <t>M</t>
    <phoneticPr fontId="1" type="noConversion"/>
  </si>
  <si>
    <t>每股收益</t>
    <phoneticPr fontId="1" type="noConversion"/>
  </si>
  <si>
    <t xml:space="preserve">  每股收益即每股盈利（EPS），又称每股税后利润、每股盈余，指税后利润与股本总数的比率。是普通股股东每持有一股所能享有的企业净利润或需承担的企业净亏损。每股收益通常被用来反映企业的经营成果，衡量普通股的获利水平及投资风险，是投资者等信息使用者据以评价企业盈利能力、预测企业成长潜力、进而做出相关经济决策的重要的财务指标之一。(备注：这里板块与全市场用的都是算术平均）</t>
    <phoneticPr fontId="1" type="noConversion"/>
  </si>
  <si>
    <t>每股净资产</t>
    <phoneticPr fontId="1" type="noConversion"/>
  </si>
  <si>
    <t>G</t>
    <phoneticPr fontId="1" type="noConversion"/>
  </si>
  <si>
    <t>营业收入合计(同比增长率)</t>
    <phoneticPr fontId="1" type="noConversion"/>
  </si>
  <si>
    <t xml:space="preserve">  每股净资产是指股东权益与总股数的比率。其计算公式为：每股净资产= 股东权益 / 总股数。这一指标反映每股股票所拥有的资产现值。每股净资产越高，股东拥有的每股资产价值越多；每股净资产越少，股东拥有的每股资产价值越少。通常每股净资产越高越好。</t>
    <phoneticPr fontId="1" type="noConversion"/>
  </si>
  <si>
    <t xml:space="preserve">  比如，某一上市公司实现净利润100万元，其持有70%股权的子公司实现净利润50万元。假设该上市公司没有其他子公司，且母子公司之间没有净利润的抵销业务，则，母公司合并净利润150万元（100 + 50），而该上市公司拥有子公司净利润的份额应当为35万元（50 * 70%），由此，母公司总计实现净利润135万元（100 + 35），该净利润应当归属于母公司的股东。除此之外，子公司实现的净利润的剩余部分15万元（50 - 35），归属子公司其他股东（也就是通常所说的“少数股东”）所有。</t>
    <phoneticPr fontId="1" type="noConversion"/>
  </si>
  <si>
    <t xml:space="preserve">  营业收入是从事主营业务所取得的收入。指在一定时期内，商业企业销售商品或提供劳务所获得的货币收入。如商业企业的商品销售收入、生产加工企业的产品销售收入、饮食业的饮食品销售收入、服务业的服务收入、仓储企业的仓储收入、运输企业的运费收入、代办运输收入等。发生商品销售取得收入时，通过“营业收入”帐户核算，借 (增) 记“银行存款”或“现金”帐户，贷 (增) 记“营业收入”帐户。对不属于企业主营业务范围的兼营业务的收入，作为附营业务收入处理。</t>
    <phoneticPr fontId="1" type="noConversion"/>
  </si>
  <si>
    <t>数据速览</t>
    <phoneticPr fontId="1" type="noConversion"/>
  </si>
  <si>
    <t>目录</t>
    <phoneticPr fontId="1" type="noConversion"/>
  </si>
  <si>
    <t>偿债能力</t>
    <phoneticPr fontId="1" type="noConversion"/>
  </si>
  <si>
    <t>营运能力</t>
    <phoneticPr fontId="1" type="noConversion"/>
  </si>
  <si>
    <t>盈利能力</t>
    <phoneticPr fontId="1" type="noConversion"/>
  </si>
  <si>
    <t>3秒速学</t>
    <phoneticPr fontId="1" type="noConversion"/>
  </si>
  <si>
    <t>第一步</t>
    <phoneticPr fontId="1" type="noConversion"/>
  </si>
  <si>
    <t>第二步</t>
    <phoneticPr fontId="1" type="noConversion"/>
  </si>
  <si>
    <t>偿债能力</t>
    <phoneticPr fontId="1" type="noConversion"/>
  </si>
  <si>
    <t>营运能力</t>
    <phoneticPr fontId="1" type="noConversion"/>
  </si>
  <si>
    <t>首页</t>
    <phoneticPr fontId="1" type="noConversion"/>
  </si>
  <si>
    <t xml:space="preserve">    每个财务栏目都有一个评分，这个评分是个股与板块的评分，包含权重，最近3年的权重分别是 最近的1年 百分之40  最近的第2年是百分之30  最近的第3年是百分之10，其他年份都是很小</t>
    <phoneticPr fontId="1" type="noConversion"/>
  </si>
  <si>
    <t>第三步</t>
    <phoneticPr fontId="1" type="noConversion"/>
  </si>
  <si>
    <t>第四步</t>
    <phoneticPr fontId="1" type="noConversion"/>
  </si>
  <si>
    <r>
      <t xml:space="preserve">    </t>
    </r>
    <r>
      <rPr>
        <b/>
        <sz val="48"/>
        <color indexed="8"/>
        <rFont val="华文宋体"/>
        <family val="3"/>
        <charset val="134"/>
      </rPr>
      <t>备    注</t>
    </r>
    <r>
      <rPr>
        <sz val="28"/>
        <color indexed="8"/>
        <rFont val="华文宋体"/>
        <family val="3"/>
        <charset val="134"/>
      </rPr>
      <t>：
1：有时打开后会显示0，或者其他提示，建议点击</t>
    </r>
    <r>
      <rPr>
        <b/>
        <sz val="28"/>
        <color indexed="10"/>
        <rFont val="华文宋体"/>
        <family val="3"/>
        <charset val="134"/>
      </rPr>
      <t>开始计算后稍等一下(一般建议等待5分钟左右，如果有出现错误，可以点击刷新函数即可）</t>
    </r>
    <r>
      <rPr>
        <sz val="28"/>
        <color indexed="8"/>
        <rFont val="华文宋体"/>
        <family val="3"/>
        <charset val="134"/>
      </rPr>
      <t>。
2：我们后期会不断提供更多的模板，同时如果您有任何疑问或者建议，可以</t>
    </r>
    <r>
      <rPr>
        <b/>
        <sz val="28"/>
        <color indexed="10"/>
        <rFont val="华文宋体"/>
        <family val="3"/>
        <charset val="134"/>
      </rPr>
      <t>加入我们QQ群：560099714</t>
    </r>
    <r>
      <rPr>
        <sz val="28"/>
        <color indexed="8"/>
        <rFont val="华文宋体"/>
        <family val="3"/>
        <charset val="134"/>
      </rPr>
      <t xml:space="preserve">。可以随时和制作人员沟通。如果后新增加指标或更改会第一时间在群里发送。
3：本数据仅供参考，不做任何买卖意见，
          </t>
    </r>
    <r>
      <rPr>
        <b/>
        <sz val="28"/>
        <color indexed="10"/>
        <rFont val="华文宋体"/>
        <family val="3"/>
        <charset val="134"/>
      </rPr>
      <t>股市有风险，入市需谨慎。</t>
    </r>
    <phoneticPr fontId="1" type="noConversion"/>
  </si>
  <si>
    <t>股票名称</t>
    <phoneticPr fontId="5" type="noConversion"/>
  </si>
  <si>
    <t>上市日期</t>
    <phoneticPr fontId="5" type="noConversion"/>
  </si>
  <si>
    <t>最新价</t>
    <phoneticPr fontId="5" type="noConversion"/>
  </si>
  <si>
    <t>非流动负债/负债合计</t>
    <phoneticPr fontId="1" type="noConversion"/>
  </si>
  <si>
    <t xml:space="preserve">应收账款
周转率 </t>
    <phoneticPr fontId="1" type="noConversion"/>
  </si>
  <si>
    <t>总资产周转率</t>
    <phoneticPr fontId="1" type="noConversion"/>
  </si>
  <si>
    <t>归属母公司股东的净利润(同比增长率)</t>
    <phoneticPr fontId="1" type="noConversion"/>
  </si>
  <si>
    <t>2018-12-31</t>
  </si>
  <si>
    <t xml:space="preserve">   速动比率是指企业速动资产与流动负债的比率，速动资产是企业的流动资产减去存货和预付费用后的余额，主要包括现金、短期投资、应收票据、应收账款等项目。传统经验认为，速动比率维持在1:1较为正常，它表明企业的每1元流动负债就有1元易于变现的流动资产来抵偿，短期偿债能力有可靠的保证。速动比率过低，企业的短期偿债风险较大，速动比率过高，企业在速动资产上占用资金过多，会增加企业投资的机会成本。但以上评判标准并不是绝对的。实际工作中，应考虑到企业的行业性质。例如商品零售行业，由于采用大量现金销售，几乎没有应收账款，速动比率大大低于1，也是合理的。相反，有些企业虽然速动比率大于1，但速动资产中大部份是应收账款，并不代表企业的偿债能力强，因为应收账款能否收回具有很大的不确定性。所以，在评价速动比率时，还应分析应收账款的质量。</t>
    <phoneticPr fontId="1" type="noConversion"/>
  </si>
  <si>
    <t>600519.sh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</si>
</sst>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_ "/>
  </numFmts>
  <fonts count="25">
    <font>
      <sz val="11"/>
      <color theme="1"/>
      <name val="Calibri"/>
      <family val="3"/>
      <charset val="134"/>
      <scheme val="minor"/>
    </font>
    <font>
      <sz val="9"/>
      <name val="宋体"/>
      <family val="3"/>
      <charset val="134"/>
    </font>
    <font>
      <sz val="28"/>
      <color indexed="8"/>
      <name val="华文宋体"/>
      <family val="3"/>
      <charset val="134"/>
    </font>
    <font>
      <b/>
      <sz val="28"/>
      <color indexed="10"/>
      <name val="华文宋体"/>
      <family val="3"/>
      <charset val="134"/>
    </font>
    <font>
      <b/>
      <sz val="48"/>
      <color indexed="8"/>
      <name val="华文宋体"/>
      <family val="3"/>
      <charset val="134"/>
    </font>
    <font>
      <sz val="9"/>
      <name val="宋体"/>
      <family val="3"/>
      <charset val="134"/>
    </font>
    <font>
      <u/>
      <sz val="11"/>
      <color theme="10"/>
      <name val="Calibri"/>
      <family val="3"/>
      <charset val="134"/>
      <scheme val="minor"/>
    </font>
    <font>
      <sz val="11"/>
      <color rgb="FFFF0000"/>
      <name val="Calibri"/>
      <family val="3"/>
      <charset val="134"/>
      <scheme val="minor"/>
    </font>
    <font>
      <sz val="48"/>
      <color theme="1"/>
      <name val="Calibri"/>
      <family val="3"/>
      <charset val="134"/>
      <scheme val="minor"/>
    </font>
    <font>
      <sz val="11"/>
      <color theme="0"/>
      <name val="Calibri"/>
      <family val="3"/>
      <charset val="134"/>
      <scheme val="minor"/>
    </font>
    <font>
      <sz val="11"/>
      <color theme="9"/>
      <name val="Calibri"/>
      <family val="3"/>
      <charset val="134"/>
      <scheme val="minor"/>
    </font>
    <font>
      <sz val="20"/>
      <color theme="1"/>
      <name val="Calibri"/>
      <family val="3"/>
      <charset val="134"/>
      <scheme val="minor"/>
    </font>
    <font>
      <u/>
      <sz val="11"/>
      <color theme="0"/>
      <name val="Calibri"/>
      <family val="3"/>
      <charset val="134"/>
      <scheme val="minor"/>
    </font>
    <font>
      <sz val="11"/>
      <name val="Calibri"/>
      <family val="3"/>
      <charset val="134"/>
      <scheme val="minor"/>
    </font>
    <font>
      <b/>
      <sz val="48"/>
      <color theme="0"/>
      <name val="Calibri"/>
      <family val="3"/>
      <charset val="134"/>
      <scheme val="minor"/>
    </font>
    <font>
      <sz val="48"/>
      <color rgb="FF00B0F0"/>
      <name val="Calibri"/>
      <family val="3"/>
      <charset val="134"/>
      <scheme val="minor"/>
    </font>
    <font>
      <b/>
      <sz val="20"/>
      <color theme="1"/>
      <name val="Calibri"/>
      <family val="3"/>
      <charset val="134"/>
      <scheme val="minor"/>
    </font>
    <font>
      <b/>
      <sz val="16"/>
      <color theme="1"/>
      <name val="Calibri"/>
      <family val="3"/>
      <charset val="134"/>
      <scheme val="minor"/>
    </font>
    <font>
      <sz val="48"/>
      <color rgb="FFFF0000"/>
      <name val="Calibri"/>
      <family val="3"/>
      <charset val="134"/>
      <scheme val="minor"/>
    </font>
    <font>
      <sz val="48"/>
      <color theme="9" tint="-0.249977111117893"/>
      <name val="Calibri"/>
      <family val="3"/>
      <charset val="134"/>
      <scheme val="minor"/>
    </font>
    <font>
      <b/>
      <sz val="18"/>
      <color theme="1"/>
      <name val="Calibri"/>
      <family val="3"/>
      <charset val="134"/>
      <scheme val="minor"/>
    </font>
    <font>
      <b/>
      <sz val="14"/>
      <color theme="1"/>
      <name val="Calibri"/>
      <family val="3"/>
      <charset val="134"/>
      <scheme val="minor"/>
    </font>
    <font>
      <sz val="28"/>
      <color theme="1"/>
      <name val="Calibri"/>
      <family val="3"/>
      <charset val="134"/>
      <scheme val="minor"/>
    </font>
    <font>
      <sz val="28"/>
      <color theme="1"/>
      <name val="华文宋体"/>
      <family val="3"/>
      <charset val="134"/>
    </font>
    <font>
      <sz val="11"/>
      <color rgb="FF000000"/>
      <name val="宋体"/>
      <charset val="134"/>
    </font>
  </fonts>
  <fills count="10">
    <fill>
      <patternFill patternType="none"/>
    </fill>
    <fill>
      <patternFill patternType="gray125"/>
    </fill>
    <fill>
      <patternFill patternType="solid">
        <fgColor theme="0" tint="-0.14999847407452621"/>
        <bgColor indexed="64"/>
      </patternFill>
    </fill>
    <fill>
      <patternFill patternType="solid">
        <fgColor rgb="FF00B0F0"/>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00B0F0"/>
      </left>
      <right/>
      <top style="medium">
        <color rgb="FF00B0F0"/>
      </top>
      <bottom/>
      <diagonal/>
    </border>
    <border>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s>
  <cellStyleXfs count="2">
    <xf numFmtId="0" fontId="0" fillId="0" borderId="0"/>
    <xf numFmtId="0" fontId="6" fillId="0" borderId="0" applyNumberFormat="0" applyFill="0" applyBorder="0" applyAlignment="0" applyProtection="0"/>
  </cellStyleXfs>
  <cellXfs count="116">
    <xf numFmtId="0" fontId="0" fillId="0" borderId="0" xfId="0"/>
    <xf numFmtId="0" fontId="7" fillId="0" borderId="0" xfId="0" applyFont="1"/>
    <xf numFmtId="0" fontId="0" fillId="0" borderId="0" xfId="0" applyFont="1"/>
    <xf numFmtId="0" fontId="0" fillId="0" borderId="0" xfId="0" applyFont="1"/>
    <xf numFmtId="0" fontId="8" fillId="0" borderId="0" xfId="0" applyFont="1" applyAlignment="1"/>
    <xf numFmtId="164" fontId="0" fillId="0" borderId="0" xfId="0" applyNumberFormat="1" applyAlignment="1"/>
    <xf numFmtId="0" fontId="0" fillId="0" borderId="0" xfId="0" applyAlignment="1"/>
    <xf numFmtId="0" fontId="0" fillId="2" borderId="0" xfId="0" applyFill="1"/>
    <xf numFmtId="164" fontId="0" fillId="2" borderId="0" xfId="0" applyNumberFormat="1" applyFill="1" applyAlignment="1"/>
    <xf numFmtId="14" fontId="0" fillId="2" borderId="0" xfId="0" applyNumberFormat="1" applyFill="1"/>
    <xf numFmtId="165" fontId="0" fillId="0" borderId="1" xfId="0" applyNumberFormat="1" applyBorder="1"/>
    <xf numFmtId="14" fontId="9" fillId="3" borderId="0" xfId="0" applyNumberFormat="1" applyFont="1" applyFill="1"/>
    <xf numFmtId="0" fontId="9" fillId="3" borderId="0" xfId="0" applyFont="1" applyFill="1"/>
    <xf numFmtId="14" fontId="9" fillId="3" borderId="0" xfId="0" applyNumberFormat="1" applyFont="1" applyFill="1" applyAlignment="1">
      <alignment horizontal="center"/>
    </xf>
    <xf numFmtId="14" fontId="9" fillId="3" borderId="0" xfId="0" applyNumberFormat="1" applyFont="1" applyFill="1" applyAlignment="1">
      <alignment horizontal="center" vertical="center"/>
    </xf>
    <xf numFmtId="0" fontId="0" fillId="0" borderId="0" xfId="0" applyAlignment="1">
      <alignment vertical="center" wrapText="1"/>
    </xf>
    <xf numFmtId="14" fontId="9" fillId="4" borderId="0" xfId="0" applyNumberFormat="1" applyFont="1" applyFill="1"/>
    <xf numFmtId="14" fontId="9" fillId="4" borderId="0" xfId="0" applyNumberFormat="1" applyFont="1" applyFill="1" applyAlignment="1">
      <alignment horizontal="center"/>
    </xf>
    <xf numFmtId="0" fontId="9" fillId="4" borderId="0" xfId="0" applyFont="1" applyFill="1"/>
    <xf numFmtId="0" fontId="10" fillId="0" borderId="0" xfId="0" quotePrefix="1" applyFont="1" applyAlignment="1">
      <alignment horizontal="center"/>
    </xf>
    <xf numFmtId="0" fontId="10" fillId="0" borderId="0" xfId="0" applyFont="1" applyAlignment="1">
      <alignment horizontal="center"/>
    </xf>
    <xf numFmtId="0" fontId="10" fillId="0" borderId="0" xfId="0" quotePrefix="1" applyFont="1" applyAlignment="1">
      <alignment horizontal="center" vertical="center"/>
    </xf>
    <xf numFmtId="0" fontId="10" fillId="0" borderId="0" xfId="0" applyFont="1" applyAlignment="1">
      <alignment horizontal="center" vertical="center"/>
    </xf>
    <xf numFmtId="0" fontId="10" fillId="0" borderId="0" xfId="0" quotePrefix="1" applyFont="1" applyAlignment="1">
      <alignment horizontal="center"/>
    </xf>
    <xf numFmtId="0" fontId="10" fillId="0" borderId="0" xfId="0" applyFont="1" applyAlignment="1">
      <alignment horizontal="center"/>
    </xf>
    <xf numFmtId="0" fontId="10" fillId="0" borderId="0" xfId="0" quotePrefix="1" applyFont="1" applyAlignment="1">
      <alignment horizontal="center" vertical="center"/>
    </xf>
    <xf numFmtId="0" fontId="10" fillId="0" borderId="0" xfId="0" applyFont="1" applyAlignment="1">
      <alignment horizontal="center" vertical="center"/>
    </xf>
    <xf numFmtId="14" fontId="9" fillId="5" borderId="0" xfId="0" applyNumberFormat="1" applyFont="1" applyFill="1"/>
    <xf numFmtId="14" fontId="9" fillId="5" borderId="0" xfId="0" applyNumberFormat="1" applyFont="1" applyFill="1" applyAlignment="1">
      <alignment horizontal="center"/>
    </xf>
    <xf numFmtId="0" fontId="9" fillId="5" borderId="0" xfId="0" applyFont="1" applyFill="1"/>
    <xf numFmtId="0" fontId="11" fillId="0" borderId="0" xfId="0" applyFont="1" applyAlignment="1">
      <alignment horizontal="center"/>
    </xf>
    <xf numFmtId="0" fontId="0" fillId="0" borderId="0" xfId="0" applyAlignment="1">
      <alignment horizontal="center" vertical="center"/>
    </xf>
    <xf numFmtId="0" fontId="6" fillId="0" borderId="0" xfId="1"/>
    <xf numFmtId="0" fontId="12" fillId="4" borderId="0" xfId="1" applyFont="1" applyFill="1"/>
    <xf numFmtId="0" fontId="0" fillId="0" borderId="0" xfId="0" applyFill="1" applyAlignment="1"/>
    <xf numFmtId="0" fontId="9" fillId="0" borderId="0" xfId="0" applyFont="1"/>
    <xf numFmtId="0" fontId="6" fillId="0" borderId="0" xfId="1" applyAlignment="1">
      <alignment horizontal="center" vertical="center"/>
    </xf>
    <xf numFmtId="0" fontId="6" fillId="0" borderId="0" xfId="1" applyAlignment="1">
      <alignment horizontal="left" vertical="center"/>
    </xf>
    <xf numFmtId="0" fontId="0" fillId="0" borderId="0" xfId="0" applyAlignment="1">
      <alignment horizontal="left" vertical="center"/>
    </xf>
    <xf numFmtId="0" fontId="9" fillId="6" borderId="0" xfId="0" applyFont="1" applyFill="1"/>
    <xf numFmtId="0" fontId="9" fillId="6" borderId="0" xfId="0" applyFont="1" applyFill="1"/>
    <xf numFmtId="0" fontId="9" fillId="6" borderId="0" xfId="0" applyFont="1" applyFill="1" applyAlignment="1">
      <alignment horizontal="center"/>
    </xf>
    <xf numFmtId="14" fontId="9" fillId="6" borderId="0" xfId="0" applyNumberFormat="1" applyFont="1" applyFill="1"/>
    <xf numFmtId="164" fontId="9" fillId="6" borderId="0" xfId="0" applyNumberFormat="1" applyFont="1" applyFill="1" applyAlignment="1"/>
    <xf numFmtId="0" fontId="9" fillId="6" borderId="0" xfId="0" applyFont="1" applyFill="1" applyAlignment="1">
      <alignment horizontal="left" vertical="center"/>
    </xf>
    <xf numFmtId="164" fontId="9" fillId="6" borderId="0" xfId="0" applyNumberFormat="1" applyFont="1" applyFill="1" applyAlignment="1"/>
    <xf numFmtId="165" fontId="9" fillId="6" borderId="0" xfId="0" applyNumberFormat="1" applyFont="1" applyFill="1"/>
    <xf numFmtId="10" fontId="9" fillId="6" borderId="0" xfId="0" applyNumberFormat="1" applyFont="1" applyFill="1" applyAlignment="1">
      <alignment horizontal="center"/>
    </xf>
    <xf numFmtId="10" fontId="9" fillId="6" borderId="0" xfId="0" applyNumberFormat="1" applyFont="1" applyFill="1"/>
    <xf numFmtId="0" fontId="9" fillId="4" borderId="1" xfId="0" applyFont="1" applyFill="1" applyBorder="1"/>
    <xf numFmtId="0" fontId="0" fillId="0" borderId="0" xfId="0" applyAlignment="1">
      <alignment horizontal="left" wrapText="1"/>
    </xf>
    <xf numFmtId="0" fontId="0" fillId="0" borderId="1" xfId="0"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xf>
    <xf numFmtId="0" fontId="0" fillId="0" borderId="0" xfId="0" applyBorder="1"/>
    <xf numFmtId="0" fontId="9" fillId="6" borderId="0" xfId="0" applyFont="1" applyFill="1" applyBorder="1"/>
    <xf numFmtId="0" fontId="0" fillId="0" borderId="1" xfId="0" applyFont="1" applyFill="1" applyBorder="1" applyAlignment="1">
      <alignment horizontal="center"/>
    </xf>
    <xf numFmtId="0" fontId="0" fillId="0" borderId="0" xfId="0" applyAlignment="1">
      <alignment horizontal="center"/>
    </xf>
    <xf numFmtId="0" fontId="0" fillId="0" borderId="1" xfId="0" applyBorder="1" applyAlignment="1">
      <alignment horizontal="center"/>
    </xf>
    <xf numFmtId="0" fontId="14" fillId="3" borderId="0" xfId="0" applyFont="1" applyFill="1" applyAlignment="1">
      <alignment horizontal="center" vertical="center" textRotation="255"/>
    </xf>
    <xf numFmtId="0" fontId="14" fillId="4" borderId="0" xfId="0" applyFont="1" applyFill="1" applyAlignment="1">
      <alignment horizontal="center" vertical="center" textRotation="255"/>
    </xf>
    <xf numFmtId="0" fontId="14" fillId="5" borderId="0" xfId="0" applyFont="1" applyFill="1" applyAlignment="1">
      <alignment horizontal="center" vertical="center" textRotation="255"/>
    </xf>
    <xf numFmtId="0" fontId="10" fillId="0" borderId="0" xfId="0" quotePrefix="1" applyFont="1" applyAlignment="1">
      <alignment horizontal="center"/>
    </xf>
    <xf numFmtId="0" fontId="10" fillId="0" borderId="0" xfId="0" applyFont="1" applyAlignment="1">
      <alignment horizontal="center"/>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0" fontId="0" fillId="0" borderId="0"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16" fillId="0" borderId="1" xfId="0" applyFont="1" applyBorder="1" applyAlignment="1">
      <alignment horizontal="center" vertical="center"/>
    </xf>
    <xf numFmtId="0" fontId="15" fillId="0" borderId="0" xfId="0" applyFont="1" applyAlignment="1">
      <alignment horizontal="right" vertical="center"/>
    </xf>
    <xf numFmtId="0" fontId="16" fillId="6" borderId="0" xfId="0" applyFont="1" applyFill="1" applyAlignment="1">
      <alignment horizontal="left" vertical="center"/>
    </xf>
    <xf numFmtId="0" fontId="15" fillId="0" borderId="0" xfId="0" applyFont="1" applyAlignment="1">
      <alignment horizontal="right"/>
    </xf>
    <xf numFmtId="0" fontId="10" fillId="0" borderId="0" xfId="0" quotePrefix="1" applyFont="1" applyBorder="1" applyAlignment="1">
      <alignment horizontal="center"/>
    </xf>
    <xf numFmtId="0" fontId="10" fillId="0" borderId="0" xfId="0" applyFont="1" applyBorder="1" applyAlignment="1">
      <alignment horizontal="center"/>
    </xf>
    <xf numFmtId="0" fontId="16" fillId="6" borderId="0" xfId="0" applyFont="1" applyFill="1" applyAlignment="1">
      <alignment horizontal="center" vertical="center" wrapText="1"/>
    </xf>
    <xf numFmtId="0" fontId="10" fillId="0" borderId="0" xfId="0" quotePrefix="1" applyFont="1" applyAlignment="1">
      <alignment horizontal="center" vertical="center"/>
    </xf>
    <xf numFmtId="0" fontId="10" fillId="0" borderId="0" xfId="0" applyFont="1" applyAlignment="1">
      <alignment horizontal="center" vertical="center"/>
    </xf>
    <xf numFmtId="0" fontId="17" fillId="0" borderId="1" xfId="0" applyFont="1" applyBorder="1" applyAlignment="1">
      <alignment horizontal="center" vertical="center"/>
    </xf>
    <xf numFmtId="0" fontId="18" fillId="0" borderId="0" xfId="0" applyFont="1" applyAlignment="1">
      <alignment horizontal="right"/>
    </xf>
    <xf numFmtId="0" fontId="16" fillId="6" borderId="0" xfId="0" applyFont="1" applyFill="1" applyAlignment="1">
      <alignment horizontal="left" vertical="center" wrapText="1"/>
    </xf>
    <xf numFmtId="0" fontId="18" fillId="0" borderId="0" xfId="0" applyFont="1" applyAlignment="1">
      <alignment horizontal="right" vertical="center"/>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17" fillId="6" borderId="0" xfId="0" applyFont="1" applyFill="1" applyAlignment="1">
      <alignment horizontal="left" vertical="center" wrapText="1"/>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6" fillId="0" borderId="4" xfId="0" applyFont="1" applyBorder="1" applyAlignment="1">
      <alignment horizontal="center" vertical="center"/>
    </xf>
    <xf numFmtId="0" fontId="19" fillId="0" borderId="0" xfId="0" applyFont="1" applyAlignment="1">
      <alignment horizontal="right" vertical="center"/>
    </xf>
    <xf numFmtId="0" fontId="21" fillId="6" borderId="0" xfId="0" applyFont="1" applyFill="1" applyAlignment="1">
      <alignment horizontal="left" vertical="top"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19" fillId="0" borderId="0" xfId="0" applyFont="1" applyAlignment="1">
      <alignment horizontal="center" vertical="center"/>
    </xf>
    <xf numFmtId="0" fontId="19" fillId="0" borderId="0" xfId="0" applyFont="1" applyAlignment="1">
      <alignment horizontal="right"/>
    </xf>
    <xf numFmtId="0" fontId="20" fillId="6" borderId="0" xfId="0" applyFont="1" applyFill="1" applyAlignment="1">
      <alignment horizontal="left" vertical="center" wrapText="1"/>
    </xf>
    <xf numFmtId="0" fontId="22" fillId="7" borderId="0" xfId="0" applyFont="1" applyFill="1" applyAlignment="1">
      <alignment horizontal="center" vertical="center" textRotation="255"/>
    </xf>
    <xf numFmtId="0" fontId="22" fillId="8" borderId="0" xfId="0" applyFont="1" applyFill="1" applyAlignment="1">
      <alignment horizontal="center" vertical="center" textRotation="255"/>
    </xf>
    <xf numFmtId="0" fontId="23" fillId="0" borderId="0" xfId="0" applyFont="1" applyAlignment="1">
      <alignment horizontal="center" vertical="center" wrapText="1"/>
    </xf>
    <xf numFmtId="0" fontId="0" fillId="0" borderId="0" xfId="0" applyAlignment="1">
      <alignment horizontal="left" wrapText="1"/>
    </xf>
    <xf numFmtId="0" fontId="22" fillId="9" borderId="0" xfId="0" applyFont="1" applyFill="1" applyAlignment="1">
      <alignment horizontal="center" vertical="center" textRotation="255"/>
    </xf>
  </cellXfs>
  <cellStyles count="2">
    <cellStyle name="Hyperlink" xfId="1" builtinId="8"/>
    <cellStyle name="Normal" xfId="0" builtinId="0"/>
  </cellStyles>
  <dxfs count="4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m.rtf">
      <tp>
        <v>28.02</v>
        <stp/>
        <stp>EM_S_FA_EPS_BASIC</stp>
        <stp>3</stp>
        <stp>600519.sh</stp>
        <stp>2018-12-31</stp>
        <stp>1</stp>
        <tr r="M178" s="7"/>
      </tp>
      <tp>
        <v>21.56</v>
        <stp/>
        <stp>EM_S_FA_EPS_BASIC</stp>
        <stp>3</stp>
        <stp>600519.sh</stp>
        <stp>2017-12-31</stp>
        <stp>1</stp>
        <tr r="L178" s="7"/>
      </tp>
      <tp>
        <v>13.31</v>
        <stp/>
        <stp>EM_S_FA_EPS_BASIC</stp>
        <stp>3</stp>
        <stp>600519.sh</stp>
        <stp>2016-12-31</stp>
        <stp>1</stp>
        <tr r="K178" s="7"/>
      </tp>
      <tp>
        <v>12.34</v>
        <stp/>
        <stp>EM_S_FA_EPS_BASIC</stp>
        <stp>3</stp>
        <stp>600519.sh</stp>
        <stp>2015-12-31</stp>
        <stp>1</stp>
        <tr r="J178" s="7"/>
      </tp>
      <tp>
        <v>13.44</v>
        <stp/>
        <stp>EM_S_FA_EPS_BASIC</stp>
        <stp>3</stp>
        <stp>600519.sh</stp>
        <stp>2014-12-31</stp>
        <stp>1</stp>
        <tr r="I178" s="7"/>
      </tp>
      <tp>
        <v>14.58</v>
        <stp/>
        <stp>EM_S_FA_EPS_BASIC</stp>
        <stp>3</stp>
        <stp>600519.sh</stp>
        <stp>2013-12-31</stp>
        <stp>1</stp>
        <tr r="H178" s="7"/>
      </tp>
      <tp>
        <v>12.82</v>
        <stp/>
        <stp>EM_S_FA_EPS_BASIC</stp>
        <stp>3</stp>
        <stp>600519.sh</stp>
        <stp>2012-12-31</stp>
        <stp>1</stp>
        <tr r="G178" s="7"/>
      </tp>
      <tp>
        <v>8.44</v>
        <stp/>
        <stp>EM_S_FA_EPS_BASIC</stp>
        <stp>3</stp>
        <stp>600519.sh</stp>
        <stp>2011-12-31</stp>
        <stp>1</stp>
        <tr r="F178" s="7"/>
      </tp>
      <tp>
        <v>5.35</v>
        <stp/>
        <stp>EM_S_FA_EPS_BASIC</stp>
        <stp>3</stp>
        <stp>600519.sh</stp>
        <stp>2010-12-31</stp>
        <stp>1</stp>
        <tr r="E178" s="7"/>
      </tp>
      <tp>
        <v>4.57</v>
        <stp/>
        <stp>EM_S_FA_EPS_BASIC</stp>
        <stp>3</stp>
        <stp>600519.sh</stp>
        <stp>2009-12-31</stp>
        <stp>1</stp>
        <tr r="D178" s="7"/>
      </tp>
      <tp t="s">
        <v>贵州茅台</v>
        <stp/>
        <stp>EM_S_INFO_NAME</stp>
        <stp>1</stp>
        <stp>600519.sh</stp>
        <tr r="D9" s="7"/>
        <tr r="E23" s="1"/>
        <tr r="D9" s="2"/>
        <tr r="D9" s="5"/>
      </tp>
      <tp>
        <v>27.940334238932945</v>
        <stp/>
        <stp>EM_BK_FA_ALL_ARTURNDAYS</stp>
        <stp>3</stp>
        <stp>001004</stp>
        <stp>2009-12-31</stp>
        <stp>0</stp>
        <tr r="D256" s="5"/>
      </tp>
      <tp>
        <v>43.617388931274085</v>
        <stp/>
        <stp>EM_BK_FA_ALL_ARTURNDAYS</stp>
        <stp>3</stp>
        <stp>001004</stp>
        <stp>2018-12-31</stp>
        <stp>0</stp>
        <tr r="M256" s="5"/>
      </tp>
      <tp>
        <v>45.674404318712035</v>
        <stp/>
        <stp>EM_BK_FA_ALL_ARTURNDAYS</stp>
        <stp>3</stp>
        <stp>001004</stp>
        <stp>2016-12-31</stp>
        <stp>0</stp>
        <tr r="K256" s="5"/>
      </tp>
      <tp>
        <v>44.333645135470057</v>
        <stp/>
        <stp>EM_BK_FA_ALL_ARTURNDAYS</stp>
        <stp>3</stp>
        <stp>001004</stp>
        <stp>2017-12-31</stp>
        <stp>0</stp>
        <tr r="L256" s="5"/>
      </tp>
      <tp>
        <v>37.507096532004354</v>
        <stp/>
        <stp>EM_BK_FA_ALL_ARTURNDAYS</stp>
        <stp>3</stp>
        <stp>001004</stp>
        <stp>2014-12-31</stp>
        <stp>0</stp>
        <tr r="I256" s="5"/>
      </tp>
      <tp>
        <v>43.488570250004145</v>
        <stp/>
        <stp>EM_BK_FA_ALL_ARTURNDAYS</stp>
        <stp>3</stp>
        <stp>001004</stp>
        <stp>2015-12-31</stp>
        <stp>0</stp>
        <tr r="J256" s="5"/>
      </tp>
      <tp>
        <v>33.356369927073693</v>
        <stp/>
        <stp>EM_BK_FA_ALL_ARTURNDAYS</stp>
        <stp>3</stp>
        <stp>001004</stp>
        <stp>2012-12-31</stp>
        <stp>0</stp>
        <tr r="G256" s="5"/>
      </tp>
      <tp>
        <v>33.2972113520972</v>
        <stp/>
        <stp>EM_BK_FA_ALL_ARTURNDAYS</stp>
        <stp>3</stp>
        <stp>001004</stp>
        <stp>2013-12-31</stp>
        <stp>0</stp>
        <tr r="H256" s="5"/>
      </tp>
      <tp>
        <v>25.990822546605624</v>
        <stp/>
        <stp>EM_BK_FA_ALL_ARTURNDAYS</stp>
        <stp>3</stp>
        <stp>001004</stp>
        <stp>2010-12-31</stp>
        <stp>0</stp>
        <tr r="E256" s="5"/>
      </tp>
      <tp>
        <v>29.761762399414323</v>
        <stp/>
        <stp>EM_BK_FA_ALL_ARTURNDAYS</stp>
        <stp>3</stp>
        <stp>001004</stp>
        <stp>2011-12-31</stp>
        <stp>0</stp>
        <tr r="F256" s="5"/>
      </tp>
      <tp>
        <v>0.19282208058194178</v>
        <stp/>
        <stp>EM_BK_FA_ALL_ASSETSTURN</stp>
        <stp>3</stp>
        <stp>001004</stp>
        <stp>2018-12-31</stp>
        <stp>0</stp>
        <tr r="M140" s="5"/>
        <tr r="M140" s="7"/>
      </tp>
      <tp>
        <v>0.21852550999031659</v>
        <stp/>
        <stp>EM_BK_FA_ALL_ASSETSTURN</stp>
        <stp>3</stp>
        <stp>001004</stp>
        <stp>2012-12-31</stp>
        <stp>0</stp>
        <tr r="G140" s="5"/>
        <tr r="G140" s="7"/>
      </tp>
      <tp>
        <v>0.21238013179271539</v>
        <stp/>
        <stp>EM_BK_FA_ALL_ASSETSTURN</stp>
        <stp>3</stp>
        <stp>001004</stp>
        <stp>2013-12-31</stp>
        <stp>0</stp>
        <tr r="H140" s="5"/>
        <tr r="H140" s="7"/>
      </tp>
      <tp>
        <v>0.22392367737638047</v>
        <stp/>
        <stp>EM_BK_FA_ALL_ASSETSTURN</stp>
        <stp>3</stp>
        <stp>001004</stp>
        <stp>2010-12-31</stp>
        <stp>0</stp>
        <tr r="E140" s="5"/>
        <tr r="E140" s="7"/>
      </tp>
      <tp>
        <v>0.23088459359321034</v>
        <stp/>
        <stp>EM_BK_FA_ALL_ASSETSTURN</stp>
        <stp>3</stp>
        <stp>001004</stp>
        <stp>2011-12-31</stp>
        <stp>0</stp>
        <tr r="F140" s="5"/>
        <tr r="F140" s="7"/>
      </tp>
      <tp>
        <v>0.17361331697682575</v>
        <stp/>
        <stp>EM_BK_FA_ALL_ASSETSTURN</stp>
        <stp>3</stp>
        <stp>001004</stp>
        <stp>2016-12-31</stp>
        <stp>0</stp>
        <tr r="K140" s="5"/>
        <tr r="K140" s="7"/>
      </tp>
      <tp>
        <v>0.18560067141007283</v>
        <stp/>
        <stp>EM_BK_FA_ALL_ASSETSTURN</stp>
        <stp>3</stp>
        <stp>001004</stp>
        <stp>2017-12-31</stp>
        <stp>0</stp>
        <tr r="L140" s="5"/>
        <tr r="L140" s="7"/>
      </tp>
      <tp>
        <v>0.2015269820804089</v>
        <stp/>
        <stp>EM_BK_FA_ALL_ASSETSTURN</stp>
        <stp>3</stp>
        <stp>001004</stp>
        <stp>2014-12-31</stp>
        <stp>0</stp>
        <tr r="I140" s="5"/>
        <tr r="I140" s="7"/>
      </tp>
      <tp>
        <v>0.18153960814754702</v>
        <stp/>
        <stp>EM_BK_FA_ALL_ASSETSTURN</stp>
        <stp>3</stp>
        <stp>001004</stp>
        <stp>2015-12-31</stp>
        <stp>0</stp>
        <tr r="J140" s="5"/>
        <tr r="J140" s="7"/>
      </tp>
      <tp>
        <v>0.20067243437459595</v>
        <stp/>
        <stp>EM_BK_FA_ALL_ASSETSTURN</stp>
        <stp>3</stp>
        <stp>001004</stp>
        <stp>2009-12-31</stp>
        <stp>0</stp>
        <tr r="D140" s="5"/>
        <tr r="D140" s="7"/>
      </tp>
      <tp>
        <v>61.38576952894195</v>
        <stp/>
        <stp>EM_BK_FA_ALL_APTURNDAYS</stp>
        <stp>3</stp>
        <stp>001004</stp>
        <stp>2009-12-31</stp>
        <stp>0</stp>
        <tr r="D294" s="5"/>
      </tp>
      <tp>
        <v>90.168842325200004</v>
        <stp/>
        <stp>EM_S_FA_GROSSPROFITMARGIN</stp>
        <stp>3</stp>
        <stp>600519.sh</stp>
        <stp>2009-12-31</stp>
        <stp>1</stp>
        <tr r="D23" s="7"/>
      </tp>
      <tp>
        <v>81.43001508311248</v>
        <stp/>
        <stp>EM_BK_FA_ALL_APTURNDAYS</stp>
        <stp>3</stp>
        <stp>001004</stp>
        <stp>2018-12-31</stp>
        <stp>0</stp>
        <tr r="M294" s="5"/>
      </tp>
      <tp>
        <v>86.232798852442428</v>
        <stp/>
        <stp>EM_BK_FA_ALL_APTURNDAYS</stp>
        <stp>3</stp>
        <stp>001004</stp>
        <stp>2016-12-31</stp>
        <stp>0</stp>
        <tr r="K294" s="5"/>
      </tp>
      <tp>
        <v>82.174238512667145</v>
        <stp/>
        <stp>EM_BK_FA_ALL_APTURNDAYS</stp>
        <stp>3</stp>
        <stp>001004</stp>
        <stp>2017-12-31</stp>
        <stp>0</stp>
        <tr r="L294" s="5"/>
      </tp>
      <tp>
        <v>72.183089739769898</v>
        <stp/>
        <stp>EM_BK_FA_ALL_APTURNDAYS</stp>
        <stp>3</stp>
        <stp>001004</stp>
        <stp>2014-12-31</stp>
        <stp>0</stp>
        <tr r="I294" s="5"/>
      </tp>
      <tp>
        <v>82.69717130980392</v>
        <stp/>
        <stp>EM_BK_FA_ALL_APTURNDAYS</stp>
        <stp>3</stp>
        <stp>001004</stp>
        <stp>2015-12-31</stp>
        <stp>0</stp>
        <tr r="J294" s="5"/>
      </tp>
      <tp>
        <v>62.770190857875363</v>
        <stp/>
        <stp>EM_BK_FA_ALL_APTURNDAYS</stp>
        <stp>3</stp>
        <stp>001004</stp>
        <stp>2012-12-31</stp>
        <stp>0</stp>
        <tr r="G294" s="5"/>
      </tp>
      <tp>
        <v>66.349773861500267</v>
        <stp/>
        <stp>EM_BK_FA_ALL_APTURNDAYS</stp>
        <stp>3</stp>
        <stp>001004</stp>
        <stp>2013-12-31</stp>
        <stp>0</stp>
        <tr r="H294" s="5"/>
      </tp>
      <tp>
        <v>58.10994484299485</v>
        <stp/>
        <stp>EM_BK_FA_ALL_APTURNDAYS</stp>
        <stp>3</stp>
        <stp>001004</stp>
        <stp>2010-12-31</stp>
        <stp>0</stp>
        <tr r="E294" s="5"/>
      </tp>
      <tp>
        <v>57.898221768471586</v>
        <stp/>
        <stp>EM_BK_FA_ALL_APTURNDAYS</stp>
        <stp>3</stp>
        <stp>001004</stp>
        <stp>2011-12-31</stp>
        <stp>0</stp>
        <tr r="F294" s="5"/>
      </tp>
      <tp>
        <v>89.796196153799997</v>
        <stp/>
        <stp>EM_S_FA_GROSSPROFITMARGIN</stp>
        <stp>3</stp>
        <stp>600519.sh</stp>
        <stp>2017-12-31</stp>
        <stp>1</stp>
        <tr r="L23" s="7"/>
      </tp>
      <tp>
        <v>91.225136600599996</v>
        <stp/>
        <stp>EM_S_FA_GROSSPROFITMARGIN</stp>
        <stp>3</stp>
        <stp>600519.sh</stp>
        <stp>2016-12-31</stp>
        <stp>1</stp>
        <tr r="K23" s="7"/>
      </tp>
      <tp>
        <v>92.227894052699995</v>
        <stp/>
        <stp>EM_S_FA_GROSSPROFITMARGIN</stp>
        <stp>3</stp>
        <stp>600519.sh</stp>
        <stp>2015-12-31</stp>
        <stp>1</stp>
        <tr r="J23" s="7"/>
      </tp>
      <tp>
        <v>92.593412853100006</v>
        <stp/>
        <stp>EM_S_FA_GROSSPROFITMARGIN</stp>
        <stp>3</stp>
        <stp>600519.sh</stp>
        <stp>2014-12-31</stp>
        <stp>1</stp>
        <tr r="I23" s="7"/>
      </tp>
      <tp>
        <v>92.904940156899997</v>
        <stp/>
        <stp>EM_S_FA_GROSSPROFITMARGIN</stp>
        <stp>3</stp>
        <stp>600519.sh</stp>
        <stp>2013-12-31</stp>
        <stp>1</stp>
        <tr r="H23" s="7"/>
      </tp>
      <tp>
        <v>92.272611717299995</v>
        <stp/>
        <stp>EM_S_FA_GROSSPROFITMARGIN</stp>
        <stp>3</stp>
        <stp>600519.sh</stp>
        <stp>2012-12-31</stp>
        <stp>1</stp>
        <tr r="G23" s="7"/>
      </tp>
      <tp>
        <v>91.570459549399999</v>
        <stp/>
        <stp>EM_S_FA_GROSSPROFITMARGIN</stp>
        <stp>3</stp>
        <stp>600519.sh</stp>
        <stp>2011-12-31</stp>
        <stp>1</stp>
        <tr r="F23" s="7"/>
      </tp>
      <tp>
        <v>90.948973521799999</v>
        <stp/>
        <stp>EM_S_FA_GROSSPROFITMARGIN</stp>
        <stp>3</stp>
        <stp>600519.sh</stp>
        <stp>2010-12-31</stp>
        <stp>1</stp>
        <tr r="E23" s="7"/>
      </tp>
      <tp>
        <v>91.142012876799996</v>
        <stp/>
        <stp>EM_S_FA_GROSSPROFITMARGIN</stp>
        <stp>3</stp>
        <stp>600519.sh</stp>
        <stp>2018-12-31</stp>
        <stp>1</stp>
        <tr r="M23" s="7"/>
      </tp>
      <tp>
        <v>4.1828021426123723</v>
        <stp/>
        <stp>EM_BK_FA_ALL_INVTURN</stp>
        <stp>3</stp>
        <stp>001004</stp>
        <stp>2011-12-31</stp>
        <stp>0</stp>
        <tr r="F63" s="5"/>
      </tp>
      <tp>
        <v>4.360282934497409</v>
        <stp/>
        <stp>EM_BK_FA_ALL_INVTURN</stp>
        <stp>3</stp>
        <stp>001004</stp>
        <stp>2010-12-31</stp>
        <stp>0</stp>
        <tr r="E63" s="5"/>
      </tp>
      <tp>
        <v>3.4936770294288686</v>
        <stp/>
        <stp>EM_BK_FA_ALL_INVTURN</stp>
        <stp>3</stp>
        <stp>001004</stp>
        <stp>2013-12-31</stp>
        <stp>0</stp>
        <tr r="H63" s="5"/>
      </tp>
      <tp>
        <v>3.734853190409213</v>
        <stp/>
        <stp>EM_BK_FA_ALL_INVTURN</stp>
        <stp>3</stp>
        <stp>001004</stp>
        <stp>2012-12-31</stp>
        <stp>0</stp>
        <tr r="G63" s="5"/>
      </tp>
      <tp>
        <v>2.7736897532753466</v>
        <stp/>
        <stp>EM_BK_FA_ALL_INVTURN</stp>
        <stp>3</stp>
        <stp>001004</stp>
        <stp>2015-12-31</stp>
        <stp>0</stp>
        <tr r="J63" s="5"/>
      </tp>
      <tp>
        <v>3.197445430654819</v>
        <stp/>
        <stp>EM_BK_FA_ALL_INVTURN</stp>
        <stp>3</stp>
        <stp>001004</stp>
        <stp>2014-12-31</stp>
        <stp>0</stp>
        <tr r="I63" s="5"/>
      </tp>
      <tp>
        <v>2.810381873237533</v>
        <stp/>
        <stp>EM_BK_FA_ALL_INVTURN</stp>
        <stp>3</stp>
        <stp>001004</stp>
        <stp>2017-12-31</stp>
        <stp>0</stp>
        <tr r="L63" s="5"/>
      </tp>
      <tp>
        <v>2.6947622069296959</v>
        <stp/>
        <stp>EM_BK_FA_ALL_INVTURN</stp>
        <stp>3</stp>
        <stp>001004</stp>
        <stp>2016-12-31</stp>
        <stp>0</stp>
        <tr r="K63" s="5"/>
      </tp>
      <tp>
        <v>2.7849890277689449</v>
        <stp/>
        <stp>EM_BK_FA_ALL_INVTURN</stp>
        <stp>3</stp>
        <stp>001004</stp>
        <stp>2018-12-31</stp>
        <stp>0</stp>
        <tr r="M63" s="5"/>
      </tp>
      <tp>
        <v>4.0844368246352047</v>
        <stp/>
        <stp>EM_BK_FA_ALL_INVTURN</stp>
        <stp>3</stp>
        <stp>001004</stp>
        <stp>2009-12-31</stp>
        <stp>0</stp>
        <tr r="D63" s="5"/>
      </tp>
      <tp>
        <v>345.45242299092934</v>
        <stp/>
        <stp>EM_BK_FA_ALL_INVTURNDAYS</stp>
        <stp>3</stp>
        <stp>004002002</stp>
        <stp>2018-12-31</stp>
        <stp>0</stp>
        <tr r="M217" s="5"/>
      </tp>
      <tp>
        <v>301.35998018698677</v>
        <stp/>
        <stp>EM_BK_FA_ALL_INVTURNDAYS</stp>
        <stp>3</stp>
        <stp>004002002</stp>
        <stp>2013-12-31</stp>
        <stp>0</stp>
        <tr r="H217" s="5"/>
      </tp>
      <tp>
        <v>260.57943203351658</v>
        <stp/>
        <stp>EM_BK_FA_ALL_INVTURNDAYS</stp>
        <stp>3</stp>
        <stp>004002002</stp>
        <stp>2012-12-31</stp>
        <stp>0</stp>
        <tr r="G217" s="5"/>
      </tp>
      <tp>
        <v>232.05006962818896</v>
        <stp/>
        <stp>EM_BK_FA_ALL_INVTURNDAYS</stp>
        <stp>3</stp>
        <stp>004002002</stp>
        <stp>2011-12-31</stp>
        <stp>0</stp>
        <tr r="F217" s="5"/>
      </tp>
      <tp>
        <v>220.15005321478205</v>
        <stp/>
        <stp>EM_BK_FA_ALL_INVTURNDAYS</stp>
        <stp>3</stp>
        <stp>004002002</stp>
        <stp>2010-12-31</stp>
        <stp>0</stp>
        <tr r="E217" s="5"/>
      </tp>
      <tp>
        <v>370.61788308277056</v>
        <stp/>
        <stp>EM_BK_FA_ALL_INVTURNDAYS</stp>
        <stp>3</stp>
        <stp>004002002</stp>
        <stp>2017-12-31</stp>
        <stp>0</stp>
        <tr r="L217" s="5"/>
      </tp>
      <tp>
        <v>381.45339140880634</v>
        <stp/>
        <stp>EM_BK_FA_ALL_INVTURNDAYS</stp>
        <stp>3</stp>
        <stp>004002002</stp>
        <stp>2016-12-31</stp>
        <stp>0</stp>
        <tr r="K217" s="5"/>
      </tp>
      <tp>
        <v>362.12709655318935</v>
        <stp/>
        <stp>EM_BK_FA_ALL_INVTURNDAYS</stp>
        <stp>3</stp>
        <stp>004002002</stp>
        <stp>2015-12-31</stp>
        <stp>0</stp>
        <tr r="J217" s="5"/>
      </tp>
      <tp>
        <v>337.14240729002523</v>
        <stp/>
        <stp>EM_BK_FA_ALL_INVTURNDAYS</stp>
        <stp>3</stp>
        <stp>004002002</stp>
        <stp>2014-12-31</stp>
        <stp>0</stp>
        <tr r="I217" s="5"/>
      </tp>
      <tp>
        <v>219.29040519231745</v>
        <stp/>
        <stp>EM_BK_FA_ALL_INVTURNDAYS</stp>
        <stp>3</stp>
        <stp>004002002</stp>
        <stp>2009-12-31</stp>
        <stp>0</stp>
        <tr r="D217" s="5"/>
      </tp>
      <tp>
        <v>9.8697691022163792</v>
        <stp/>
        <stp>EM_BK_FA_ALL_NETPROFITMARGIN</stp>
        <stp>3</stp>
        <stp>001004</stp>
        <stp>2009-12-31</stp>
        <stp>0</stp>
        <tr r="D101" s="7"/>
      </tp>
      <tp>
        <v>8.7861209366310025</v>
        <stp/>
        <stp>EM_BK_FA_ALL_NETPROFITMARGIN</stp>
        <stp>3</stp>
        <stp>001004</stp>
        <stp>2012-12-31</stp>
        <stp>0</stp>
        <tr r="G101" s="7"/>
      </tp>
      <tp>
        <v>9.1829954844273889</v>
        <stp/>
        <stp>EM_BK_FA_ALL_NETPROFITMARGIN</stp>
        <stp>3</stp>
        <stp>001004</stp>
        <stp>2013-12-31</stp>
        <stp>0</stp>
        <tr r="H101" s="7"/>
      </tp>
      <tp>
        <v>10.129068451224294</v>
        <stp/>
        <stp>EM_BK_FA_ALL_NETPROFITMARGIN</stp>
        <stp>3</stp>
        <stp>001004</stp>
        <stp>2010-12-31</stp>
        <stp>0</stp>
        <tr r="E101" s="7"/>
      </tp>
      <tp>
        <v>9.4396295306873146</v>
        <stp/>
        <stp>EM_BK_FA_ALL_NETPROFITMARGIN</stp>
        <stp>3</stp>
        <stp>001004</stp>
        <stp>2011-12-31</stp>
        <stp>0</stp>
        <tr r="F101" s="7"/>
      </tp>
      <tp>
        <v>9.2976095830134327</v>
        <stp/>
        <stp>EM_BK_FA_ALL_NETPROFITMARGIN</stp>
        <stp>3</stp>
        <stp>001004</stp>
        <stp>2016-12-31</stp>
        <stp>0</stp>
        <tr r="K101" s="7"/>
      </tp>
      <tp>
        <v>9.2757192579086798</v>
        <stp/>
        <stp>EM_BK_FA_ALL_NETPROFITMARGIN</stp>
        <stp>3</stp>
        <stp>001004</stp>
        <stp>2017-12-31</stp>
        <stp>0</stp>
        <tr r="L101" s="7"/>
      </tp>
      <tp>
        <v>9.2154937773665644</v>
        <stp/>
        <stp>EM_BK_FA_ALL_NETPROFITMARGIN</stp>
        <stp>3</stp>
        <stp>001004</stp>
        <stp>2014-12-31</stp>
        <stp>0</stp>
        <tr r="I101" s="7"/>
      </tp>
      <tp>
        <v>9.3167681151216062</v>
        <stp/>
        <stp>EM_BK_FA_ALL_NETPROFITMARGIN</stp>
        <stp>3</stp>
        <stp>001004</stp>
        <stp>2015-12-31</stp>
        <stp>0</stp>
        <tr r="J101" s="7"/>
      </tp>
      <tp>
        <v>8.2740501548067034</v>
        <stp/>
        <stp>EM_BK_FA_ALL_NETPROFITMARGIN</stp>
        <stp>3</stp>
        <stp>001004</stp>
        <stp>2018-12-31</stp>
        <stp>0</stp>
        <tr r="M101" s="7"/>
      </tp>
      <tp>
        <v>21.98894378589673</v>
        <stp/>
        <stp>EM_BK_FA_ALL_ROE</stp>
        <stp>3</stp>
        <stp>004002002</stp>
        <stp>2018-12-31</stp>
        <stp>0</stp>
        <tr r="M62" s="7"/>
      </tp>
      <tp>
        <v>22.676521623329368</v>
        <stp/>
        <stp>EM_BK_FA_ALL_ROE</stp>
        <stp>3</stp>
        <stp>004002002</stp>
        <stp>2013-12-31</stp>
        <stp>0</stp>
        <tr r="H62" s="7"/>
      </tp>
      <tp>
        <v>30.293354615301951</v>
        <stp/>
        <stp>EM_BK_FA_ALL_ROE</stp>
        <stp>3</stp>
        <stp>004002002</stp>
        <stp>2012-12-31</stp>
        <stp>0</stp>
        <tr r="G62" s="7"/>
      </tp>
      <tp>
        <v>26.33707157372767</v>
        <stp/>
        <stp>EM_BK_FA_ALL_ROE</stp>
        <stp>3</stp>
        <stp>004002002</stp>
        <stp>2011-12-31</stp>
        <stp>0</stp>
        <tr r="F62" s="7"/>
      </tp>
      <tp>
        <v>22.42464457296208</v>
        <stp/>
        <stp>EM_BK_FA_ALL_ROE</stp>
        <stp>3</stp>
        <stp>004002002</stp>
        <stp>2010-12-31</stp>
        <stp>0</stp>
        <tr r="E62" s="7"/>
      </tp>
      <tp>
        <v>19.549770520208945</v>
        <stp/>
        <stp>EM_BK_FA_ALL_ROE</stp>
        <stp>3</stp>
        <stp>004002002</stp>
        <stp>2017-12-31</stp>
        <stp>0</stp>
        <tr r="L62" s="7"/>
      </tp>
      <tp>
        <v>16.311234109502276</v>
        <stp/>
        <stp>EM_BK_FA_ALL_ROE</stp>
        <stp>3</stp>
        <stp>004002002</stp>
        <stp>2016-12-31</stp>
        <stp>0</stp>
        <tr r="K62" s="7"/>
      </tp>
      <tp>
        <v>16.99776761467956</v>
        <stp/>
        <stp>EM_BK_FA_ALL_ROE</stp>
        <stp>3</stp>
        <stp>004002002</stp>
        <stp>2015-12-31</stp>
        <stp>0</stp>
        <tr r="J62" s="7"/>
      </tp>
      <tp>
        <v>17.670423001929343</v>
        <stp/>
        <stp>EM_BK_FA_ALL_ROE</stp>
        <stp>3</stp>
        <stp>004002002</stp>
        <stp>2014-12-31</stp>
        <stp>0</stp>
        <tr r="I62" s="7"/>
      </tp>
      <tp>
        <v>20.755976730417139</v>
        <stp/>
        <stp>EM_BK_FA_ALL_ROE</stp>
        <stp>3</stp>
        <stp>004002002</stp>
        <stp>2009-12-31</stp>
        <stp>0</stp>
        <tr r="D62" s="7"/>
      </tp>
      <tp>
        <v>10.768681267229288</v>
        <stp/>
        <stp>EM_BK_FA_ALL_BPS</stp>
        <stp>3</stp>
        <stp>004002002</stp>
        <stp>2018-12-31</stp>
        <stp>0</stp>
        <tr r="M217" s="7"/>
      </tp>
      <tp>
        <v>7.470929103809496</v>
        <stp/>
        <stp>EM_BK_FA_ALL_BPS</stp>
        <stp>3</stp>
        <stp>004002002</stp>
        <stp>2013-12-31</stp>
        <stp>0</stp>
        <tr r="H217" s="7"/>
      </tp>
      <tp>
        <v>6.5811976308220013</v>
        <stp/>
        <stp>EM_BK_FA_ALL_BPS</stp>
        <stp>3</stp>
        <stp>004002002</stp>
        <stp>2012-12-31</stp>
        <stp>0</stp>
        <tr r="G217" s="7"/>
      </tp>
      <tp>
        <v>5.8473068672826267</v>
        <stp/>
        <stp>EM_BK_FA_ALL_BPS</stp>
        <stp>3</stp>
        <stp>004002002</stp>
        <stp>2011-12-31</stp>
        <stp>0</stp>
        <tr r="F217" s="7"/>
      </tp>
      <tp>
        <v>5.0015295684010983</v>
        <stp/>
        <stp>EM_BK_FA_ALL_BPS</stp>
        <stp>3</stp>
        <stp>004002002</stp>
        <stp>2010-12-31</stp>
        <stp>0</stp>
        <tr r="E217" s="7"/>
      </tp>
      <tp>
        <v>9.9502819978886148</v>
        <stp/>
        <stp>EM_BK_FA_ALL_BPS</stp>
        <stp>3</stp>
        <stp>004002002</stp>
        <stp>2017-12-31</stp>
        <stp>0</stp>
        <tr r="L217" s="7"/>
      </tp>
      <tp>
        <v>8.8234119280757017</v>
        <stp/>
        <stp>EM_BK_FA_ALL_BPS</stp>
        <stp>3</stp>
        <stp>004002002</stp>
        <stp>2016-12-31</stp>
        <stp>0</stp>
        <tr r="K217" s="7"/>
      </tp>
      <tp>
        <v>8.5675624407323152</v>
        <stp/>
        <stp>EM_BK_FA_ALL_BPS</stp>
        <stp>3</stp>
        <stp>004002002</stp>
        <stp>2015-12-31</stp>
        <stp>0</stp>
        <tr r="J217" s="7"/>
      </tp>
      <tp>
        <v>7.8896479630839238</v>
        <stp/>
        <stp>EM_BK_FA_ALL_BPS</stp>
        <stp>3</stp>
        <stp>004002002</stp>
        <stp>2014-12-31</stp>
        <stp>0</stp>
        <tr r="I217" s="7"/>
      </tp>
      <tp>
        <v>4.3122685468328923</v>
        <stp/>
        <stp>EM_BK_FA_ALL_BPS</stp>
        <stp>3</stp>
        <stp>004002002</stp>
        <stp>2009-12-31</stp>
        <stp>0</stp>
        <tr r="D217" s="7"/>
      </tp>
      <tp>
        <v>25.888494258400002</v>
        <stp/>
        <stp>EM_S_FA_DEBTTOASSETS</stp>
        <stp>3</stp>
        <stp>600519.sh</stp>
        <stp>2009-12-31</stp>
        <stp>1</stp>
        <tr r="D140" s="2"/>
      </tp>
      <tp>
        <v>32.794215117599997</v>
        <stp/>
        <stp>EM_S_FA_DEBTTOASSETS</stp>
        <stp>3</stp>
        <stp>600519.sh</stp>
        <stp>2016-12-31</stp>
        <stp>1</stp>
        <tr r="K140" s="2"/>
      </tp>
      <tp>
        <v>28.668342540600001</v>
        <stp/>
        <stp>EM_S_FA_DEBTTOASSETS</stp>
        <stp>3</stp>
        <stp>600519.sh</stp>
        <stp>2017-12-31</stp>
        <stp>1</stp>
        <tr r="L140" s="2"/>
      </tp>
      <tp>
        <v>16.033257772700001</v>
        <stp/>
        <stp>EM_S_FA_DEBTTOASSETS</stp>
        <stp>3</stp>
        <stp>600519.sh</stp>
        <stp>2014-12-31</stp>
        <stp>1</stp>
        <tr r="I140" s="2"/>
      </tp>
      <tp>
        <v>23.252552396700001</v>
        <stp/>
        <stp>EM_S_FA_DEBTTOASSETS</stp>
        <stp>3</stp>
        <stp>600519.sh</stp>
        <stp>2015-12-31</stp>
        <stp>1</stp>
        <tr r="J140" s="2"/>
      </tp>
      <tp>
        <v>21.210116531699999</v>
        <stp/>
        <stp>EM_S_FA_DEBTTOASSETS</stp>
        <stp>3</stp>
        <stp>600519.sh</stp>
        <stp>2012-12-31</stp>
        <stp>1</stp>
        <tr r="G140" s="2"/>
      </tp>
      <tp>
        <v>20.422381851499999</v>
        <stp/>
        <stp>EM_S_FA_DEBTTOASSETS</stp>
        <stp>3</stp>
        <stp>600519.sh</stp>
        <stp>2013-12-31</stp>
        <stp>1</stp>
        <tr r="H140" s="2"/>
      </tp>
      <tp>
        <v>27.5062755539</v>
        <stp/>
        <stp>EM_S_FA_DEBTTOASSETS</stp>
        <stp>3</stp>
        <stp>600519.sh</stp>
        <stp>2010-12-31</stp>
        <stp>1</stp>
        <tr r="E140" s="2"/>
      </tp>
      <tp>
        <v>27.2127590027</v>
        <stp/>
        <stp>EM_S_FA_DEBTTOASSETS</stp>
        <stp>3</stp>
        <stp>600519.sh</stp>
        <stp>2011-12-31</stp>
        <stp>1</stp>
        <tr r="F140" s="2"/>
      </tp>
      <tp>
        <v>26.549308506799999</v>
        <stp/>
        <stp>EM_S_FA_DEBTTOASSETS</stp>
        <stp>3</stp>
        <stp>600519.sh</stp>
        <stp>2018-12-31</stp>
        <stp>1</stp>
        <tr r="M140" s="2"/>
      </tp>
      <tp>
        <v>1.2089875370701675</v>
        <stp/>
        <stp>EM_BK_FA_ALL_CURRENT</stp>
        <stp>3</stp>
        <stp>001004</stp>
        <stp>2018-12-31</stp>
        <stp>0</stp>
        <tr r="M23" s="2"/>
      </tp>
      <tp>
        <v>1.1261050704290849</v>
        <stp/>
        <stp>EM_BK_FA_ALL_CURRENT</stp>
        <stp>3</stp>
        <stp>001004</stp>
        <stp>2013-12-31</stp>
        <stp>0</stp>
        <tr r="H23" s="2"/>
      </tp>
      <tp>
        <v>1.1356173592867798</v>
        <stp/>
        <stp>EM_BK_FA_ALL_CURRENT</stp>
        <stp>3</stp>
        <stp>001004</stp>
        <stp>2012-12-31</stp>
        <stp>0</stp>
        <tr r="G23" s="2"/>
      </tp>
      <tp>
        <v>1.1564114689555436</v>
        <stp/>
        <stp>EM_BK_FA_ALL_CURRENT</stp>
        <stp>3</stp>
        <stp>001004</stp>
        <stp>2011-12-31</stp>
        <stp>0</stp>
        <tr r="F23" s="2"/>
      </tp>
      <tp>
        <v>1.1525767998466498</v>
        <stp/>
        <stp>EM_BK_FA_ALL_CURRENT</stp>
        <stp>3</stp>
        <stp>001004</stp>
        <stp>2010-12-31</stp>
        <stp>0</stp>
        <tr r="E23" s="2"/>
      </tp>
      <tp>
        <v>1.2254385913383223</v>
        <stp/>
        <stp>EM_BK_FA_ALL_CURRENT</stp>
        <stp>3</stp>
        <stp>001004</stp>
        <stp>2017-12-31</stp>
        <stp>0</stp>
        <tr r="L23" s="2"/>
      </tp>
      <tp>
        <v>1.2205359592788343</v>
        <stp/>
        <stp>EM_BK_FA_ALL_CURRENT</stp>
        <stp>3</stp>
        <stp>001004</stp>
        <stp>2016-12-31</stp>
        <stp>0</stp>
        <tr r="K23" s="2"/>
      </tp>
      <tp>
        <v>1.1874512581552015</v>
        <stp/>
        <stp>EM_BK_FA_ALL_CURRENT</stp>
        <stp>3</stp>
        <stp>001004</stp>
        <stp>2015-12-31</stp>
        <stp>0</stp>
        <tr r="J23" s="2"/>
      </tp>
      <tp>
        <v>1.1399745004333639</v>
        <stp/>
        <stp>EM_BK_FA_ALL_CURRENT</stp>
        <stp>3</stp>
        <stp>001004</stp>
        <stp>2014-12-31</stp>
        <stp>0</stp>
        <tr r="I23" s="2"/>
      </tp>
      <tp>
        <v>1.0903861683245142</v>
        <stp/>
        <stp>EM_BK_FA_ALL_CURRENT</stp>
        <stp>3</stp>
        <stp>001004</stp>
        <stp>2009-12-31</stp>
        <stp>0</stp>
        <tr r="D23" s="2"/>
      </tp>
      <tp>
        <v>350.26254611430755</v>
        <stp/>
        <stp>EM_BK_FA_ALL_TURNDAYS</stp>
        <stp>3</stp>
        <stp>004002002</stp>
        <stp>2018-12-31</stp>
        <stp>0</stp>
        <tr r="M179" s="5"/>
      </tp>
      <tp>
        <v>342.44736975277988</v>
        <stp/>
        <stp>EM_BK_FA_ALL_TURNDAYS</stp>
        <stp>3</stp>
        <stp>004002002</stp>
        <stp>2014-12-31</stp>
        <stp>0</stp>
        <tr r="I179" s="5"/>
      </tp>
      <tp>
        <v>367.04793248573372</v>
        <stp/>
        <stp>EM_BK_FA_ALL_TURNDAYS</stp>
        <stp>3</stp>
        <stp>004002002</stp>
        <stp>2015-12-31</stp>
        <stp>0</stp>
        <tr r="J179" s="5"/>
      </tp>
      <tp>
        <v>386.92995399480321</v>
        <stp/>
        <stp>EM_BK_FA_ALL_TURNDAYS</stp>
        <stp>3</stp>
        <stp>004002002</stp>
        <stp>2016-12-31</stp>
        <stp>0</stp>
        <tr r="K179" s="5"/>
      </tp>
      <tp>
        <v>375.58824792084749</v>
        <stp/>
        <stp>EM_BK_FA_ALL_TURNDAYS</stp>
        <stp>3</stp>
        <stp>004002002</stp>
        <stp>2017-12-31</stp>
        <stp>0</stp>
        <tr r="L179" s="5"/>
      </tp>
      <tp>
        <v>227.30845923784594</v>
        <stp/>
        <stp>EM_BK_FA_ALL_TURNDAYS</stp>
        <stp>3</stp>
        <stp>004002002</stp>
        <stp>2010-12-31</stp>
        <stp>0</stp>
        <tr r="E179" s="5"/>
      </tp>
      <tp>
        <v>237.59497808785292</v>
        <stp/>
        <stp>EM_BK_FA_ALL_TURNDAYS</stp>
        <stp>3</stp>
        <stp>004002002</stp>
        <stp>2011-12-31</stp>
        <stp>0</stp>
        <tr r="F179" s="5"/>
      </tp>
      <tp>
        <v>265.7700810114689</v>
        <stp/>
        <stp>EM_BK_FA_ALL_TURNDAYS</stp>
        <stp>3</stp>
        <stp>004002002</stp>
        <stp>2012-12-31</stp>
        <stp>0</stp>
        <tr r="G179" s="5"/>
      </tp>
      <tp>
        <v>306.821691048768</v>
        <stp/>
        <stp>EM_BK_FA_ALL_TURNDAYS</stp>
        <stp>3</stp>
        <stp>004002002</stp>
        <stp>2013-12-31</stp>
        <stp>0</stp>
        <tr r="H179" s="5"/>
      </tp>
      <tp>
        <v>227.66161256929675</v>
        <stp/>
        <stp>EM_BK_FA_ALL_TURNDAYS</stp>
        <stp>3</stp>
        <stp>004002002</stp>
        <stp>2009-12-31</stp>
        <stp>0</stp>
        <tr r="D179" s="5"/>
      </tp>
      <tp>
        <v>0.35379951774599999</v>
        <stp/>
        <stp>EM_S_FA_DEBTTOEQUITY</stp>
        <stp>3</stp>
        <stp>600519.sh</stp>
        <stp>2009-12-31</stp>
        <stp>1</stp>
        <tr r="D101" s="2"/>
      </tp>
      <tp>
        <v>0.38253582672500003</v>
        <stp/>
        <stp>EM_S_FA_DEBTTOEQUITY</stp>
        <stp>3</stp>
        <stp>600519.sh</stp>
        <stp>2010-12-31</stp>
        <stp>1</stp>
        <tr r="E101" s="2"/>
      </tp>
      <tp>
        <v>0.38003365087699997</v>
        <stp/>
        <stp>EM_S_FA_DEBTTOEQUITY</stp>
        <stp>3</stp>
        <stp>600519.sh</stp>
        <stp>2011-12-31</stp>
        <stp>1</stp>
        <tr r="F101" s="2"/>
      </tp>
      <tp>
        <v>0.27948079713000001</v>
        <stp/>
        <stp>EM_S_FA_DEBTTOEQUITY</stp>
        <stp>3</stp>
        <stp>600519.sh</stp>
        <stp>2012-12-31</stp>
        <stp>1</stp>
        <tr r="G101" s="2"/>
      </tp>
      <tp>
        <v>0.265707871082</v>
        <stp/>
        <stp>EM_S_FA_DEBTTOEQUITY</stp>
        <stp>3</stp>
        <stp>600519.sh</stp>
        <stp>2013-12-31</stp>
        <stp>1</stp>
        <tr r="H101" s="2"/>
      </tp>
      <tp>
        <v>0.19767050031399999</v>
        <stp/>
        <stp>EM_S_FA_DEBTTOEQUITY</stp>
        <stp>3</stp>
        <stp>600519.sh</stp>
        <stp>2014-12-31</stp>
        <stp>1</stp>
        <tr r="I101" s="2"/>
      </tp>
      <tp>
        <v>0.31391452257000002</v>
        <stp/>
        <stp>EM_S_FA_DEBTTOEQUITY</stp>
        <stp>3</stp>
        <stp>600519.sh</stp>
        <stp>2015-12-31</stp>
        <stp>1</stp>
        <tr r="J101" s="2"/>
      </tp>
      <tp>
        <v>0.508079202964</v>
        <stp/>
        <stp>EM_S_FA_DEBTTOEQUITY</stp>
        <stp>3</stp>
        <stp>600519.sh</stp>
        <stp>2016-12-31</stp>
        <stp>1</stp>
        <tr r="K101" s="2"/>
      </tp>
      <tp>
        <v>0.42197754839099999</v>
        <stp/>
        <stp>EM_S_FA_DEBTTOEQUITY</stp>
        <stp>3</stp>
        <stp>600519.sh</stp>
        <stp>2017-12-31</stp>
        <stp>1</stp>
        <tr r="L101" s="2"/>
      </tp>
      <tp>
        <v>0.37609647964499998</v>
        <stp/>
        <stp>EM_S_FA_DEBTTOEQUITY</stp>
        <stp>3</stp>
        <stp>600519.sh</stp>
        <stp>2018-12-31</stp>
        <stp>1</stp>
        <tr r="M101" s="2"/>
      </tp>
      <tp>
        <v>99.843091316900001</v>
        <stp/>
        <stp>EM_S_FA_CURRENTDEBTTODEBT</stp>
        <stp>3</stp>
        <stp>600519.sh</stp>
        <stp>2013-12-31</stp>
        <stp>1</stp>
        <tr r="H180" s="2"/>
      </tp>
      <tp>
        <v>99.813813089700005</v>
        <stp/>
        <stp>EM_S_FA_CURRENTDEBTTODEBT</stp>
        <stp>3</stp>
        <stp>600519.sh</stp>
        <stp>2012-12-31</stp>
        <stp>1</stp>
        <tr r="G180" s="2"/>
      </tp>
      <tp>
        <v>99.823427019999997</v>
        <stp/>
        <stp>EM_S_FA_CURRENTDEBTTODEBT</stp>
        <stp>3</stp>
        <stp>600519.sh</stp>
        <stp>2011-12-31</stp>
        <stp>1</stp>
        <tr r="F180" s="2"/>
      </tp>
      <tp>
        <v>99.8579180208</v>
        <stp/>
        <stp>EM_S_FA_CURRENTDEBTTODEBT</stp>
        <stp>3</stp>
        <stp>600519.sh</stp>
        <stp>2010-12-31</stp>
        <stp>1</stp>
        <tr r="E180" s="2"/>
      </tp>
      <tp>
        <v>99.959653271500002</v>
        <stp/>
        <stp>EM_S_FA_CURRENTDEBTTODEBT</stp>
        <stp>3</stp>
        <stp>600519.sh</stp>
        <stp>2017-12-31</stp>
        <stp>1</stp>
        <tr r="L180" s="2"/>
      </tp>
      <tp>
        <v>99.957959817700001</v>
        <stp/>
        <stp>EM_S_FA_CURRENTDEBTTODEBT</stp>
        <stp>3</stp>
        <stp>600519.sh</stp>
        <stp>2016-12-31</stp>
        <stp>1</stp>
        <tr r="K180" s="2"/>
      </tp>
      <tp>
        <v>99.922411059599995</v>
        <stp/>
        <stp>EM_S_FA_CURRENTDEBTTODEBT</stp>
        <stp>3</stp>
        <stp>600519.sh</stp>
        <stp>2015-12-31</stp>
        <stp>1</stp>
        <tr r="J180" s="2"/>
      </tp>
      <tp>
        <v>99.831749206599994</v>
        <stp/>
        <stp>EM_S_FA_CURRENTDEBTTODEBT</stp>
        <stp>3</stp>
        <stp>600519.sh</stp>
        <stp>2014-12-31</stp>
        <stp>1</stp>
        <tr r="I180" s="2"/>
      </tp>
      <tp>
        <v>100</v>
        <stp/>
        <stp>EM_S_FA_CURRENTDEBTTODEBT</stp>
        <stp>3</stp>
        <stp>600519.sh</stp>
        <stp>2018-12-31</stp>
        <stp>1</stp>
        <tr r="M180" s="2"/>
      </tp>
      <tp>
        <v>99.804613381099998</v>
        <stp/>
        <stp>EM_S_FA_CURRENTDEBTTODEBT</stp>
        <stp>3</stp>
        <stp>600519.sh</stp>
        <stp>2009-12-31</stp>
        <stp>1</stp>
        <tr r="D180" s="2"/>
      </tp>
      <tp>
        <v>0.74643699652089113</v>
        <stp/>
        <stp>EM_BK_FA_ALL_ASSETSTURN</stp>
        <stp>3</stp>
        <stp>004002002</stp>
        <stp>2009-12-31</stp>
        <stp>0</stp>
        <tr r="D139" s="5"/>
        <tr r="D139" s="7"/>
      </tp>
      <tp>
        <v>0.57670389842761738</v>
        <stp/>
        <stp>EM_BK_FA_ALL_ASSETSTURN</stp>
        <stp>3</stp>
        <stp>004002002</stp>
        <stp>2018-12-31</stp>
        <stp>0</stp>
        <tr r="M139" s="5"/>
        <tr r="M139" s="7"/>
      </tp>
      <tp>
        <v>0.54066255926680806</v>
        <stp/>
        <stp>EM_BK_FA_ALL_ASSETSTURN</stp>
        <stp>3</stp>
        <stp>004002002</stp>
        <stp>2017-12-31</stp>
        <stp>0</stp>
        <tr r="L139" s="5"/>
        <tr r="L139" s="7"/>
      </tp>
      <tp>
        <v>0.52343571020623569</v>
        <stp/>
        <stp>EM_BK_FA_ALL_ASSETSTURN</stp>
        <stp>3</stp>
        <stp>004002002</stp>
        <stp>2016-12-31</stp>
        <stp>0</stp>
        <tr r="K139" s="5"/>
        <tr r="K139" s="7"/>
      </tp>
      <tp>
        <v>0.56029170538269557</v>
        <stp/>
        <stp>EM_BK_FA_ALL_ASSETSTURN</stp>
        <stp>3</stp>
        <stp>004002002</stp>
        <stp>2015-12-31</stp>
        <stp>0</stp>
        <tr r="J139" s="5"/>
        <tr r="J139" s="7"/>
      </tp>
      <tp>
        <v>0.60561350578072104</v>
        <stp/>
        <stp>EM_BK_FA_ALL_ASSETSTURN</stp>
        <stp>3</stp>
        <stp>004002002</stp>
        <stp>2014-12-31</stp>
        <stp>0</stp>
        <tr r="I139" s="5"/>
        <tr r="I139" s="7"/>
      </tp>
      <tp>
        <v>0.67441821109206535</v>
        <stp/>
        <stp>EM_BK_FA_ALL_ASSETSTURN</stp>
        <stp>3</stp>
        <stp>004002002</stp>
        <stp>2013-12-31</stp>
        <stp>0</stp>
        <tr r="H139" s="5"/>
        <tr r="H139" s="7"/>
      </tp>
      <tp>
        <v>0.75770047047215983</v>
        <stp/>
        <stp>EM_BK_FA_ALL_ASSETSTURN</stp>
        <stp>3</stp>
        <stp>004002002</stp>
        <stp>2012-12-31</stp>
        <stp>0</stp>
        <tr r="G139" s="5"/>
        <tr r="G139" s="7"/>
      </tp>
      <tp>
        <v>0.74958344980709313</v>
        <stp/>
        <stp>EM_BK_FA_ALL_ASSETSTURN</stp>
        <stp>3</stp>
        <stp>004002002</stp>
        <stp>2011-12-31</stp>
        <stp>0</stp>
        <tr r="F139" s="5"/>
        <tr r="F139" s="7"/>
      </tp>
      <tp>
        <v>0.73404174973833769</v>
        <stp/>
        <stp>EM_BK_FA_ALL_ASSETSTURN</stp>
        <stp>3</stp>
        <stp>004002002</stp>
        <stp>2010-12-31</stp>
        <stp>0</stp>
        <tr r="E139" s="5"/>
        <tr r="E139" s="7"/>
      </tp>
      <tp>
        <v>90.946117260043835</v>
        <stp/>
        <stp>EM_BK_FA_ALL_CURRENTDEBTTODEBT</stp>
        <stp>3</stp>
        <stp>004002002</stp>
        <stp>2012-12-31</stp>
        <stp>0</stp>
        <tr r="G181" s="2"/>
      </tp>
      <tp>
        <v>92.553731550419997</v>
        <stp/>
        <stp>EM_BK_FA_ALL_CURRENTDEBTTODEBT</stp>
        <stp>3</stp>
        <stp>004002002</stp>
        <stp>2013-12-31</stp>
        <stp>0</stp>
        <tr r="H181" s="2"/>
      </tp>
      <tp>
        <v>91.095565580956603</v>
        <stp/>
        <stp>EM_BK_FA_ALL_CURRENTDEBTTODEBT</stp>
        <stp>3</stp>
        <stp>004002002</stp>
        <stp>2010-12-31</stp>
        <stp>0</stp>
        <tr r="E181" s="2"/>
      </tp>
      <tp>
        <v>91.803948254472573</v>
        <stp/>
        <stp>EM_BK_FA_ALL_CURRENTDEBTTODEBT</stp>
        <stp>3</stp>
        <stp>004002002</stp>
        <stp>2011-12-31</stp>
        <stp>0</stp>
        <tr r="F181" s="2"/>
      </tp>
      <tp>
        <v>91.261740852861664</v>
        <stp/>
        <stp>EM_BK_FA_ALL_CURRENTDEBTTODEBT</stp>
        <stp>3</stp>
        <stp>004002002</stp>
        <stp>2016-12-31</stp>
        <stp>0</stp>
        <tr r="K181" s="2"/>
      </tp>
      <tp>
        <v>92.287410020792194</v>
        <stp/>
        <stp>EM_BK_FA_ALL_CURRENTDEBTTODEBT</stp>
        <stp>3</stp>
        <stp>004002002</stp>
        <stp>2017-12-31</stp>
        <stp>0</stp>
        <tr r="L181" s="2"/>
      </tp>
      <tp>
        <v>89.354214757743478</v>
        <stp/>
        <stp>EM_BK_FA_ALL_CURRENTDEBTTODEBT</stp>
        <stp>3</stp>
        <stp>004002002</stp>
        <stp>2014-12-31</stp>
        <stp>0</stp>
        <tr r="I181" s="2"/>
      </tp>
      <tp>
        <v>89.519226679902602</v>
        <stp/>
        <stp>EM_BK_FA_ALL_CURRENTDEBTTODEBT</stp>
        <stp>3</stp>
        <stp>004002002</stp>
        <stp>2015-12-31</stp>
        <stp>0</stp>
        <tr r="J181" s="2"/>
      </tp>
      <tp>
        <v>92.625819902015337</v>
        <stp/>
        <stp>EM_BK_FA_ALL_CURRENTDEBTTODEBT</stp>
        <stp>3</stp>
        <stp>004002002</stp>
        <stp>2018-12-31</stp>
        <stp>0</stp>
        <tr r="M181" s="2"/>
      </tp>
      <tp>
        <v>91.187738427177806</v>
        <stp/>
        <stp>EM_BK_FA_ALL_CURRENTDEBTTODEBT</stp>
        <stp>3</stp>
        <stp>004002002</stp>
        <stp>2009-12-31</stp>
        <stp>0</stp>
        <tr r="D181" s="2"/>
      </tp>
      <tp>
        <v>4.8101231233781956</v>
        <stp/>
        <stp>EM_BK_FA_ALL_ARTURNDAYS</stp>
        <stp>3</stp>
        <stp>004002002</stp>
        <stp>2018-12-31</stp>
        <stp>0</stp>
        <tr r="M255" s="5"/>
      </tp>
      <tp>
        <v>7.1584060230638933</v>
        <stp/>
        <stp>EM_BK_FA_ALL_ARTURNDAYS</stp>
        <stp>3</stp>
        <stp>004002002</stp>
        <stp>2010-12-31</stp>
        <stp>0</stp>
        <tr r="E255" s="5"/>
      </tp>
      <tp>
        <v>5.5449084596639704</v>
        <stp/>
        <stp>EM_BK_FA_ALL_ARTURNDAYS</stp>
        <stp>3</stp>
        <stp>004002002</stp>
        <stp>2011-12-31</stp>
        <stp>0</stp>
        <tr r="F255" s="5"/>
      </tp>
      <tp>
        <v>5.1906489779523062</v>
        <stp/>
        <stp>EM_BK_FA_ALL_ARTURNDAYS</stp>
        <stp>3</stp>
        <stp>004002002</stp>
        <stp>2012-12-31</stp>
        <stp>0</stp>
        <tr r="G255" s="5"/>
      </tp>
      <tp>
        <v>5.4617108617812269</v>
        <stp/>
        <stp>EM_BK_FA_ALL_ARTURNDAYS</stp>
        <stp>3</stp>
        <stp>004002002</stp>
        <stp>2013-12-31</stp>
        <stp>0</stp>
        <tr r="H255" s="5"/>
      </tp>
      <tp>
        <v>5.3049624627546699</v>
        <stp/>
        <stp>EM_BK_FA_ALL_ARTURNDAYS</stp>
        <stp>3</stp>
        <stp>004002002</stp>
        <stp>2014-12-31</stp>
        <stp>0</stp>
        <tr r="I255" s="5"/>
      </tp>
      <tp>
        <v>4.9208359325443878</v>
        <stp/>
        <stp>EM_BK_FA_ALL_ARTURNDAYS</stp>
        <stp>3</stp>
        <stp>004002002</stp>
        <stp>2015-12-31</stp>
        <stp>0</stp>
        <tr r="J255" s="5"/>
      </tp>
      <tp>
        <v>5.4765625859968923</v>
        <stp/>
        <stp>EM_BK_FA_ALL_ARTURNDAYS</stp>
        <stp>3</stp>
        <stp>004002002</stp>
        <stp>2016-12-31</stp>
        <stp>0</stp>
        <tr r="K255" s="5"/>
      </tp>
      <tp>
        <v>4.9703648380769598</v>
        <stp/>
        <stp>EM_BK_FA_ALL_ARTURNDAYS</stp>
        <stp>3</stp>
        <stp>004002002</stp>
        <stp>2017-12-31</stp>
        <stp>0</stp>
        <tr r="L255" s="5"/>
      </tp>
      <tp>
        <v>8.3712073769792941</v>
        <stp/>
        <stp>EM_BK_FA_ALL_ARTURNDAYS</stp>
        <stp>3</stp>
        <stp>004002002</stp>
        <stp>2009-12-31</stp>
        <stp>0</stp>
        <tr r="D255" s="5"/>
      </tp>
      <tp>
        <v>72.395453284833508</v>
        <stp/>
        <stp>EM_BK_FA_ALL_APTURNDAYS</stp>
        <stp>3</stp>
        <stp>004002002</stp>
        <stp>2018-12-31</stp>
        <stp>0</stp>
        <tr r="M293" s="5"/>
      </tp>
      <tp>
        <v>44.4590717632516</v>
        <stp/>
        <stp>EM_BK_FA_ALL_APTURNDAYS</stp>
        <stp>3</stp>
        <stp>004002002</stp>
        <stp>2010-12-31</stp>
        <stp>0</stp>
        <tr r="E293" s="5"/>
      </tp>
      <tp>
        <v>44.577513158613343</v>
        <stp/>
        <stp>EM_BK_FA_ALL_APTURNDAYS</stp>
        <stp>3</stp>
        <stp>004002002</stp>
        <stp>2011-12-31</stp>
        <stp>0</stp>
        <tr r="F293" s="5"/>
      </tp>
      <tp>
        <v>49.82035231958173</v>
        <stp/>
        <stp>EM_BK_FA_ALL_APTURNDAYS</stp>
        <stp>3</stp>
        <stp>004002002</stp>
        <stp>2012-12-31</stp>
        <stp>0</stp>
        <tr r="G293" s="5"/>
      </tp>
      <tp>
        <v>57.846091167453523</v>
        <stp/>
        <stp>EM_BK_FA_ALL_APTURNDAYS</stp>
        <stp>3</stp>
        <stp>004002002</stp>
        <stp>2013-12-31</stp>
        <stp>0</stp>
        <tr r="H293" s="5"/>
      </tp>
      <tp>
        <v>57.75136635184824</v>
        <stp/>
        <stp>EM_BK_FA_ALL_APTURNDAYS</stp>
        <stp>3</stp>
        <stp>004002002</stp>
        <stp>2014-12-31</stp>
        <stp>0</stp>
        <tr r="I293" s="5"/>
      </tp>
      <tp>
        <v>58.83686651420205</v>
        <stp/>
        <stp>EM_BK_FA_ALL_APTURNDAYS</stp>
        <stp>3</stp>
        <stp>004002002</stp>
        <stp>2015-12-31</stp>
        <stp>0</stp>
        <tr r="J293" s="5"/>
      </tp>
      <tp>
        <v>65.721251715835436</v>
        <stp/>
        <stp>EM_BK_FA_ALL_APTURNDAYS</stp>
        <stp>3</stp>
        <stp>004002002</stp>
        <stp>2016-12-31</stp>
        <stp>0</stp>
        <tr r="K293" s="5"/>
      </tp>
      <tp>
        <v>67.471907102132633</v>
        <stp/>
        <stp>EM_BK_FA_ALL_APTURNDAYS</stp>
        <stp>3</stp>
        <stp>004002002</stp>
        <stp>2017-12-31</stp>
        <stp>0</stp>
        <tr r="L293" s="5"/>
      </tp>
      <tp>
        <v>43.825244661065476</v>
        <stp/>
        <stp>EM_BK_FA_ALL_APTURNDAYS</stp>
        <stp>3</stp>
        <stp>004002002</stp>
        <stp>2009-12-31</stp>
        <stp>0</stp>
        <tr r="D293" s="5"/>
      </tp>
      <tp>
        <v>0.44109385848318938</v>
        <stp/>
        <stp>EM_BK_FA_AVG_EPS_BASIC</stp>
        <stp>3</stp>
        <stp>001004</stp>
        <stp>2009-12-31</stp>
        <stp>0</stp>
        <tr r="D180" s="7"/>
      </tp>
      <tp>
        <v>0.46008109467943048</v>
        <stp/>
        <stp>EM_BK_FA_AVG_EPS_BASIC</stp>
        <stp>3</stp>
        <stp>001004</stp>
        <stp>2013-12-31</stp>
        <stp>0</stp>
        <tr r="H180" s="7"/>
      </tp>
      <tp>
        <v>0.44861871202916054</v>
        <stp/>
        <stp>EM_BK_FA_AVG_EPS_BASIC</stp>
        <stp>3</stp>
        <stp>001004</stp>
        <stp>2012-12-31</stp>
        <stp>0</stp>
        <tr r="G180" s="7"/>
      </tp>
      <tp>
        <v>0.51643749999999988</v>
        <stp/>
        <stp>EM_BK_FA_AVG_EPS_BASIC</stp>
        <stp>3</stp>
        <stp>001004</stp>
        <stp>2011-12-31</stp>
        <stp>0</stp>
        <tr r="F180" s="7"/>
      </tp>
      <tp>
        <v>0.52886087962962991</v>
        <stp/>
        <stp>EM_BK_FA_AVG_EPS_BASIC</stp>
        <stp>3</stp>
        <stp>001004</stp>
        <stp>2010-12-31</stp>
        <stp>0</stp>
        <tr r="E180" s="7"/>
      </tp>
      <tp>
        <v>0.47891506996770877</v>
        <stp/>
        <stp>EM_BK_FA_AVG_EPS_BASIC</stp>
        <stp>3</stp>
        <stp>001004</stp>
        <stp>2017-12-31</stp>
        <stp>0</stp>
        <tr r="L180" s="7"/>
      </tp>
      <tp>
        <v>0.46716376654958125</v>
        <stp/>
        <stp>EM_BK_FA_AVG_EPS_BASIC</stp>
        <stp>3</stp>
        <stp>001004</stp>
        <stp>2016-12-31</stp>
        <stp>0</stp>
        <tr r="K180" s="7"/>
      </tp>
      <tp>
        <v>0.41912959211606826</v>
        <stp/>
        <stp>EM_BK_FA_AVG_EPS_BASIC</stp>
        <stp>3</stp>
        <stp>001004</stp>
        <stp>2015-12-31</stp>
        <stp>0</stp>
        <tr r="J180" s="7"/>
      </tp>
      <tp>
        <v>0.45710106891701735</v>
        <stp/>
        <stp>EM_BK_FA_AVG_EPS_BASIC</stp>
        <stp>3</stp>
        <stp>001004</stp>
        <stp>2014-12-31</stp>
        <stp>0</stp>
        <tr r="I180" s="7"/>
      </tp>
      <tp>
        <v>0.36292624094445786</v>
        <stp/>
        <stp>EM_BK_FA_AVG_EPS_BASIC</stp>
        <stp>3</stp>
        <stp>001004</stp>
        <stp>2018-12-31</stp>
        <stp>0</stp>
        <tr r="M180" s="7"/>
      </tp>
      <tp>
        <v>89.825475201477005</v>
        <stp/>
        <stp>EM_S_FA_BPS</stp>
        <stp>3</stp>
        <stp>600519.sh</stp>
        <stp>2018-12-31</stp>
        <stp>1</stp>
        <tr r="M216" s="7"/>
      </tp>
      <tp>
        <v>50.888465525882999</v>
        <stp/>
        <stp>EM_S_FA_BPS</stp>
        <stp>3</stp>
        <stp>600519.sh</stp>
        <stp>2015-12-31</stp>
        <stp>1</stp>
        <tr r="J216" s="7"/>
      </tp>
      <tp>
        <v>46.786774097756997</v>
        <stp/>
        <stp>EM_S_FA_BPS</stp>
        <stp>3</stp>
        <stp>600519.sh</stp>
        <stp>2014-12-31</stp>
        <stp>1</stp>
        <tr r="I216" s="7"/>
      </tp>
      <tp>
        <v>72.800257116324005</v>
        <stp/>
        <stp>EM_S_FA_BPS</stp>
        <stp>3</stp>
        <stp>600519.sh</stp>
        <stp>2017-12-31</stp>
        <stp>1</stp>
        <tr r="L216" s="7"/>
      </tp>
      <tp>
        <v>58.027595481578999</v>
        <stp/>
        <stp>EM_S_FA_BPS</stp>
        <stp>3</stp>
        <stp>600519.sh</stp>
        <stp>2016-12-31</stp>
        <stp>1</stp>
        <tr r="K216" s="7"/>
      </tp>
      <tp>
        <v>24.07</v>
        <stp/>
        <stp>EM_S_FA_BPS</stp>
        <stp>3</stp>
        <stp>600519.sh</stp>
        <stp>2011-12-31</stp>
        <stp>1</stp>
        <tr r="F216" s="7"/>
      </tp>
      <tp>
        <v>19.489999999999998</v>
        <stp/>
        <stp>EM_S_FA_BPS</stp>
        <stp>3</stp>
        <stp>600519.sh</stp>
        <stp>2010-12-31</stp>
        <stp>1</stp>
        <tr r="E216" s="7"/>
      </tp>
      <tp>
        <v>41.054746275028997</v>
        <stp/>
        <stp>EM_S_FA_BPS</stp>
        <stp>3</stp>
        <stp>600519.sh</stp>
        <stp>2013-12-31</stp>
        <stp>1</stp>
        <tr r="H216" s="7"/>
      </tp>
      <tp>
        <v>32.893769985629</v>
        <stp/>
        <stp>EM_S_FA_BPS</stp>
        <stp>3</stp>
        <stp>600519.sh</stp>
        <stp>2012-12-31</stp>
        <stp>1</stp>
        <tr r="G216" s="7"/>
      </tp>
      <tp>
        <v>15.33</v>
        <stp/>
        <stp>EM_S_FA_BPS</stp>
        <stp>3</stp>
        <stp>600519.sh</stp>
        <stp>2009-12-31</stp>
        <stp>1</stp>
        <tr r="D216" s="7"/>
      </tp>
      <tp>
        <v>34.4643499373</v>
        <stp/>
        <stp>EM_S_FA_ROE</stp>
        <stp>3</stp>
        <stp>600519.sh</stp>
        <stp>2018-12-31</stp>
        <stp>1</stp>
        <tr r="M61" s="7"/>
      </tp>
      <tp>
        <v>26.420532329699999</v>
        <stp/>
        <stp>EM_S_FA_ROE</stp>
        <stp>3</stp>
        <stp>600519.sh</stp>
        <stp>2015-12-31</stp>
        <stp>1</stp>
        <tr r="J61" s="7"/>
      </tp>
      <tp>
        <v>31.961240604699999</v>
        <stp/>
        <stp>EM_S_FA_ROE</stp>
        <stp>3</stp>
        <stp>600519.sh</stp>
        <stp>2014-12-31</stp>
        <stp>1</stp>
        <tr r="I61" s="7"/>
      </tp>
      <tp>
        <v>32.954153039200001</v>
        <stp/>
        <stp>EM_S_FA_ROE</stp>
        <stp>3</stp>
        <stp>600519.sh</stp>
        <stp>2017-12-31</stp>
        <stp>1</stp>
        <tr r="L61" s="7"/>
      </tp>
      <tp>
        <v>24.438457144699999</v>
        <stp/>
        <stp>EM_S_FA_ROE</stp>
        <stp>3</stp>
        <stp>600519.sh</stp>
        <stp>2016-12-31</stp>
        <stp>1</stp>
        <tr r="K61" s="7"/>
      </tp>
      <tp>
        <v>40.3925106895</v>
        <stp/>
        <stp>EM_S_FA_ROE</stp>
        <stp>3</stp>
        <stp>600519.sh</stp>
        <stp>2011-12-31</stp>
        <stp>1</stp>
        <tr r="F61" s="7"/>
      </tp>
      <tp>
        <v>30.7392763201</v>
        <stp/>
        <stp>EM_S_FA_ROE</stp>
        <stp>3</stp>
        <stp>600519.sh</stp>
        <stp>2010-12-31</stp>
        <stp>1</stp>
        <tr r="E61" s="7"/>
      </tp>
      <tp>
        <v>39.432775738799997</v>
        <stp/>
        <stp>EM_S_FA_ROE</stp>
        <stp>3</stp>
        <stp>600519.sh</stp>
        <stp>2013-12-31</stp>
        <stp>1</stp>
        <tr r="H61" s="7"/>
      </tp>
      <tp>
        <v>45.004707209800003</v>
        <stp/>
        <stp>EM_S_FA_ROE</stp>
        <stp>3</stp>
        <stp>600519.sh</stp>
        <stp>2012-12-31</stp>
        <stp>1</stp>
        <tr r="G61" s="7"/>
      </tp>
      <tp>
        <v>33.546118064399998</v>
        <stp/>
        <stp>EM_S_FA_ROE</stp>
        <stp>3</stp>
        <stp>600519.sh</stp>
        <stp>2009-12-31</stp>
        <stp>1</stp>
        <tr r="D61" s="7"/>
      </tp>
      <tp>
        <v>0.859757142857143</v>
        <stp/>
        <stp>EM_BK_FA_AVG_EPS_BASIC</stp>
        <stp>3</stp>
        <stp>004002002</stp>
        <stp>2014-12-31</stp>
        <stp>0</stp>
        <tr r="I179" s="7"/>
      </tp>
      <tp>
        <v>0.91912380952380957</v>
        <stp/>
        <stp>EM_BK_FA_AVG_EPS_BASIC</stp>
        <stp>3</stp>
        <stp>004002002</stp>
        <stp>2015-12-31</stp>
        <stp>0</stp>
        <tr r="J179" s="7"/>
      </tp>
      <tp>
        <v>0.9397333333333332</v>
        <stp/>
        <stp>EM_BK_FA_AVG_EPS_BASIC</stp>
        <stp>3</stp>
        <stp>004002002</stp>
        <stp>2016-12-31</stp>
        <stp>0</stp>
        <tr r="K179" s="7"/>
      </tp>
      <tp>
        <v>1.1974880952380953</v>
        <stp/>
        <stp>EM_BK_FA_AVG_EPS_BASIC</stp>
        <stp>3</stp>
        <stp>004002002</stp>
        <stp>2017-12-31</stp>
        <stp>0</stp>
        <tr r="L179" s="7"/>
      </tp>
      <tp>
        <v>0.7824472222222224</v>
        <stp/>
        <stp>EM_BK_FA_AVG_EPS_BASIC</stp>
        <stp>3</stp>
        <stp>004002002</stp>
        <stp>2010-12-31</stp>
        <stp>0</stp>
        <tr r="E179" s="7"/>
      </tp>
      <tp>
        <v>0.95146666666666679</v>
        <stp/>
        <stp>EM_BK_FA_AVG_EPS_BASIC</stp>
        <stp>3</stp>
        <stp>004002002</stp>
        <stp>2011-12-31</stp>
        <stp>0</stp>
        <tr r="F179" s="7"/>
      </tp>
      <tp>
        <v>1.1282125000000003</v>
        <stp/>
        <stp>EM_BK_FA_AVG_EPS_BASIC</stp>
        <stp>3</stp>
        <stp>004002002</stp>
        <stp>2012-12-31</stp>
        <stp>0</stp>
        <tr r="G179" s="7"/>
      </tp>
      <tp>
        <v>0.99202142857142883</v>
        <stp/>
        <stp>EM_BK_FA_AVG_EPS_BASIC</stp>
        <stp>3</stp>
        <stp>004002002</stp>
        <stp>2013-12-31</stp>
        <stp>0</stp>
        <tr r="H179" s="7"/>
      </tp>
      <tp>
        <v>1.4986190476190475</v>
        <stp/>
        <stp>EM_BK_FA_AVG_EPS_BASIC</stp>
        <stp>3</stp>
        <stp>004002002</stp>
        <stp>2018-12-31</stp>
        <stp>0</stp>
        <tr r="M179" s="7"/>
      </tp>
      <tp>
        <v>0.59156944444444448</v>
        <stp/>
        <stp>EM_BK_FA_AVG_EPS_BASIC</stp>
        <stp>3</stp>
        <stp>004002002</stp>
        <stp>2009-12-31</stp>
        <stp>0</stp>
        <tr r="D179" s="7"/>
      </tp>
      <tp>
        <v>70.285021730602296</v>
        <stp/>
        <stp>EM_BK_FA_ALL_CURRENTDEBTTODEBT</stp>
        <stp>3</stp>
        <stp>001004</stp>
        <stp>2009-12-31</stp>
        <stp>0</stp>
        <tr r="D182" s="2"/>
      </tp>
      <tp>
        <v>71.514078612837963</v>
        <stp/>
        <stp>EM_BK_FA_ALL_CURRENTDEBTTODEBT</stp>
        <stp>3</stp>
        <stp>001004</stp>
        <stp>2017-12-31</stp>
        <stp>0</stp>
        <tr r="L182" s="2"/>
      </tp>
      <tp>
        <v>69.908908082023686</v>
        <stp/>
        <stp>EM_BK_FA_ALL_CURRENTDEBTTODEBT</stp>
        <stp>3</stp>
        <stp>001004</stp>
        <stp>2016-12-31</stp>
        <stp>0</stp>
        <tr r="K182" s="2"/>
      </tp>
      <tp>
        <v>69.789057575674505</v>
        <stp/>
        <stp>EM_BK_FA_ALL_CURRENTDEBTTODEBT</stp>
        <stp>3</stp>
        <stp>001004</stp>
        <stp>2015-12-31</stp>
        <stp>0</stp>
        <tr r="J182" s="2"/>
      </tp>
      <tp>
        <v>70.519991662896743</v>
        <stp/>
        <stp>EM_BK_FA_ALL_CURRENTDEBTTODEBT</stp>
        <stp>3</stp>
        <stp>001004</stp>
        <stp>2014-12-31</stp>
        <stp>0</stp>
        <tr r="I182" s="2"/>
      </tp>
      <tp>
        <v>71.088770405339062</v>
        <stp/>
        <stp>EM_BK_FA_ALL_CURRENTDEBTTODEBT</stp>
        <stp>3</stp>
        <stp>001004</stp>
        <stp>2013-12-31</stp>
        <stp>0</stp>
        <tr r="H182" s="2"/>
      </tp>
      <tp>
        <v>70.854040335023456</v>
        <stp/>
        <stp>EM_BK_FA_ALL_CURRENTDEBTTODEBT</stp>
        <stp>3</stp>
        <stp>001004</stp>
        <stp>2012-12-31</stp>
        <stp>0</stp>
        <tr r="G182" s="2"/>
      </tp>
      <tp>
        <v>71.854720760142825</v>
        <stp/>
        <stp>EM_BK_FA_ALL_CURRENTDEBTTODEBT</stp>
        <stp>3</stp>
        <stp>001004</stp>
        <stp>2011-12-31</stp>
        <stp>0</stp>
        <tr r="F182" s="2"/>
      </tp>
      <tp>
        <v>70.664877940559364</v>
        <stp/>
        <stp>EM_BK_FA_ALL_CURRENTDEBTTODEBT</stp>
        <stp>3</stp>
        <stp>001004</stp>
        <stp>2010-12-31</stp>
        <stp>0</stp>
        <tr r="E182" s="2"/>
      </tp>
      <tp>
        <v>72.113517516536035</v>
        <stp/>
        <stp>EM_BK_FA_ALL_CURRENTDEBTTODEBT</stp>
        <stp>3</stp>
        <stp>001004</stp>
        <stp>2018-12-31</stp>
        <stp>0</stp>
        <tr r="M182" s="2"/>
      </tp>
      <tp>
        <v>116.07978049714576</v>
        <stp/>
        <stp>EM_BK_FA_ALL_TURNDAYS</stp>
        <stp>3</stp>
        <stp>001004</stp>
        <stp>2009-12-31</stp>
        <stp>0</stp>
        <tr r="D180" s="5"/>
      </tp>
      <tp>
        <v>172.8818120261098</v>
        <stp/>
        <stp>EM_BK_FA_ALL_TURNDAYS</stp>
        <stp>3</stp>
        <stp>001004</stp>
        <stp>2018-12-31</stp>
        <stp>0</stp>
        <tr r="M180" s="5"/>
      </tp>
      <tp>
        <v>129.74570081816455</v>
        <stp/>
        <stp>EM_BK_FA_ALL_TURNDAYS</stp>
        <stp>3</stp>
        <stp>001004</stp>
        <stp>2012-12-31</stp>
        <stp>0</stp>
        <tr r="G180" s="5"/>
      </tp>
      <tp>
        <v>136.34050841921371</v>
        <stp/>
        <stp>EM_BK_FA_ALL_TURNDAYS</stp>
        <stp>3</stp>
        <stp>001004</stp>
        <stp>2013-12-31</stp>
        <stp>0</stp>
        <tr r="H180" s="5"/>
      </tp>
      <tp>
        <v>108.55427207685857</v>
        <stp/>
        <stp>EM_BK_FA_ALL_TURNDAYS</stp>
        <stp>3</stp>
        <stp>001004</stp>
        <stp>2010-12-31</stp>
        <stp>0</stp>
        <tr r="E180" s="5"/>
      </tp>
      <tp>
        <v>115.82846785805735</v>
        <stp/>
        <stp>EM_BK_FA_ALL_TURNDAYS</stp>
        <stp>3</stp>
        <stp>001004</stp>
        <stp>2011-12-31</stp>
        <stp>0</stp>
        <tr r="F180" s="5"/>
      </tp>
      <tp>
        <v>179.26689684894149</v>
        <stp/>
        <stp>EM_BK_FA_ALL_TURNDAYS</stp>
        <stp>3</stp>
        <stp>001004</stp>
        <stp>2016-12-31</stp>
        <stp>0</stp>
        <tr r="K180" s="5"/>
      </tp>
      <tp>
        <v>172.43011609131329</v>
        <stp/>
        <stp>EM_BK_FA_ALL_TURNDAYS</stp>
        <stp>3</stp>
        <stp>001004</stp>
        <stp>2017-12-31</stp>
        <stp>0</stp>
        <tr r="L180" s="5"/>
      </tp>
      <tp>
        <v>150.09697736267549</v>
        <stp/>
        <stp>EM_BK_FA_ALL_TURNDAYS</stp>
        <stp>3</stp>
        <stp>001004</stp>
        <stp>2014-12-31</stp>
        <stp>0</stp>
        <tr r="I180" s="5"/>
      </tp>
      <tp>
        <v>173.27958223138722</v>
        <stp/>
        <stp>EM_BK_FA_ALL_TURNDAYS</stp>
        <stp>3</stp>
        <stp>001004</stp>
        <stp>2015-12-31</stp>
        <stp>0</stp>
        <tr r="J180" s="5"/>
      </tp>
      <tp>
        <v>0.54442351749499995</v>
        <stp/>
        <stp>EM_S_FA_ASSETSTURN</stp>
        <stp>3</stp>
        <stp>600519.sh</stp>
        <stp>2009-12-31</stp>
        <stp>1</stp>
        <tr r="D138" s="5"/>
        <tr r="D138" s="7"/>
      </tp>
      <tp>
        <v>0.52435118706399997</v>
        <stp/>
        <stp>EM_S_FA_ASSETSTURN</stp>
        <stp>3</stp>
        <stp>600519.sh</stp>
        <stp>2018-12-31</stp>
        <stp>1</stp>
        <tr r="M138" s="7"/>
        <tr r="M138" s="5"/>
      </tp>
      <tp>
        <v>0.608458492061</v>
        <stp/>
        <stp>EM_S_FA_ASSETSTURN</stp>
        <stp>3</stp>
        <stp>600519.sh</stp>
        <stp>2011-12-31</stp>
        <stp>1</stp>
        <tr r="F138" s="5"/>
        <tr r="F138" s="7"/>
      </tp>
      <tp>
        <v>0.51296301129999999</v>
        <stp/>
        <stp>EM_S_FA_ASSETSTURN</stp>
        <stp>3</stp>
        <stp>600519.sh</stp>
        <stp>2010-12-31</stp>
        <stp>1</stp>
        <tr r="E138" s="5"/>
        <tr r="E138" s="7"/>
      </tp>
      <tp>
        <v>0.61861356640099996</v>
        <stp/>
        <stp>EM_S_FA_ASSETSTURN</stp>
        <stp>3</stp>
        <stp>600519.sh</stp>
        <stp>2013-12-31</stp>
        <stp>1</stp>
        <tr r="H138" s="5"/>
        <tr r="H138" s="7"/>
      </tp>
      <tp>
        <v>0.66221878496599995</v>
        <stp/>
        <stp>EM_S_FA_ASSETSTURN</stp>
        <stp>3</stp>
        <stp>600519.sh</stp>
        <stp>2012-12-31</stp>
        <stp>1</stp>
        <tr r="G138" s="5"/>
        <tr r="G138" s="7"/>
      </tp>
      <tp>
        <v>0.43958522314600001</v>
        <stp/>
        <stp>EM_S_FA_ASSETSTURN</stp>
        <stp>3</stp>
        <stp>600519.sh</stp>
        <stp>2015-12-31</stp>
        <stp>1</stp>
        <tr r="J138" s="5"/>
        <tr r="J138" s="7"/>
      </tp>
      <tp>
        <v>0.531079312217</v>
        <stp/>
        <stp>EM_S_FA_ASSETSTURN</stp>
        <stp>3</stp>
        <stp>600519.sh</stp>
        <stp>2014-12-31</stp>
        <stp>1</stp>
        <tr r="I138" s="5"/>
        <tr r="I138" s="7"/>
      </tp>
      <tp>
        <v>0.493347406978</v>
        <stp/>
        <stp>EM_S_FA_ASSETSTURN</stp>
        <stp>3</stp>
        <stp>600519.sh</stp>
        <stp>2017-12-31</stp>
        <stp>1</stp>
        <tr r="L138" s="5"/>
        <tr r="L138" s="7"/>
      </tp>
      <tp>
        <v>0.40309064696800001</v>
        <stp/>
        <stp>EM_S_FA_ASSETSTURN</stp>
        <stp>3</stp>
        <stp>600519.sh</stp>
        <stp>2016-12-31</stp>
        <stp>1</stp>
        <tr r="K138" s="5"/>
        <tr r="K138" s="7"/>
      </tp>
      <tp>
        <v>20.473326036953811</v>
        <stp/>
        <stp>EM_BK_FA_ALL_GROSSPROFITMARGIN</stp>
        <stp>3</stp>
        <stp>001004</stp>
        <stp>2009-12-31</stp>
        <stp>0</stp>
        <tr r="D25" s="7"/>
      </tp>
      <tp>
        <v>45</v>
        <stp/>
        <stp>EM_BK_SCOUNT</stp>
        <stp>3</stp>
        <stp>004002002</stp>
        <stp>N</stp>
        <stp>0</stp>
        <tr r="H9" s="5"/>
        <tr r="H9" s="2"/>
        <tr r="H9" s="7"/>
      </tp>
      <tp>
        <v>19.929513784003795</v>
        <stp/>
        <stp>EM_BK_FA_ALL_GROSSPROFITMARGIN</stp>
        <stp>3</stp>
        <stp>001004</stp>
        <stp>2018-12-31</stp>
        <stp>0</stp>
        <tr r="M25" s="7"/>
      </tp>
      <tp>
        <v>19.951671054783628</v>
        <stp/>
        <stp>EM_BK_FA_ALL_GROSSPROFITMARGIN</stp>
        <stp>3</stp>
        <stp>001004</stp>
        <stp>2016-12-31</stp>
        <stp>0</stp>
        <tr r="K25" s="7"/>
      </tp>
      <tp>
        <v>19.761373954325901</v>
        <stp/>
        <stp>EM_BK_FA_ALL_GROSSPROFITMARGIN</stp>
        <stp>3</stp>
        <stp>001004</stp>
        <stp>2017-12-31</stp>
        <stp>0</stp>
        <tr r="L25" s="7"/>
      </tp>
      <tp>
        <v>18.88285026323927</v>
        <stp/>
        <stp>EM_BK_FA_ALL_GROSSPROFITMARGIN</stp>
        <stp>3</stp>
        <stp>001004</stp>
        <stp>2014-12-31</stp>
        <stp>0</stp>
        <tr r="I25" s="7"/>
      </tp>
      <tp>
        <v>19.640946150823304</v>
        <stp/>
        <stp>EM_BK_FA_ALL_GROSSPROFITMARGIN</stp>
        <stp>3</stp>
        <stp>001004</stp>
        <stp>2015-12-31</stp>
        <stp>0</stp>
        <tr r="J25" s="7"/>
      </tp>
      <tp>
        <v>18.320379725784054</v>
        <stp/>
        <stp>EM_BK_FA_ALL_GROSSPROFITMARGIN</stp>
        <stp>3</stp>
        <stp>001004</stp>
        <stp>2012-12-31</stp>
        <stp>0</stp>
        <tr r="G25" s="7"/>
      </tp>
      <tp>
        <v>18.389600368780211</v>
        <stp/>
        <stp>EM_BK_FA_ALL_GROSSPROFITMARGIN</stp>
        <stp>3</stp>
        <stp>001004</stp>
        <stp>2013-12-31</stp>
        <stp>0</stp>
        <tr r="H25" s="7"/>
      </tp>
      <tp>
        <v>19.942702008930947</v>
        <stp/>
        <stp>EM_BK_FA_ALL_GROSSPROFITMARGIN</stp>
        <stp>3</stp>
        <stp>001004</stp>
        <stp>2010-12-31</stp>
        <stp>0</stp>
        <tr r="E25" s="7"/>
      </tp>
      <tp>
        <v>19.002141904403747</v>
        <stp/>
        <stp>EM_BK_FA_ALL_GROSSPROFITMARGIN</stp>
        <stp>3</stp>
        <stp>001004</stp>
        <stp>2011-12-31</stp>
        <stp>0</stp>
        <tr r="F25" s="7"/>
      </tp>
      <tp>
        <v>2339.8067315603562</v>
        <stp/>
        <stp>EM_S_FA_INVTURNDAYS</stp>
        <stp>3</stp>
        <stp>600519.sh</stp>
        <stp>2015-12-31</stp>
        <stp>1</stp>
        <tr r="J216" s="5"/>
      </tp>
      <tp>
        <v>2064.2921170592881</v>
        <stp/>
        <stp>EM_S_FA_INVTURNDAYS</stp>
        <stp>3</stp>
        <stp>600519.sh</stp>
        <stp>2014-12-31</stp>
        <stp>1</stp>
        <tr r="I216" s="5"/>
      </tp>
      <tp>
        <v>1293.2302435925219</v>
        <stp/>
        <stp>EM_S_FA_INVTURNDAYS</stp>
        <stp>3</stp>
        <stp>600519.sh</stp>
        <stp>2017-12-31</stp>
        <stp>1</stp>
        <tr r="L216" s="5"/>
      </tp>
      <tp>
        <v>2039.350887053371</v>
        <stp/>
        <stp>EM_S_FA_INVTURNDAYS</stp>
        <stp>3</stp>
        <stp>600519.sh</stp>
        <stp>2016-12-31</stp>
        <stp>1</stp>
        <tr r="K216" s="5"/>
      </tp>
      <tp>
        <v>1480.7720111740989</v>
        <stp/>
        <stp>EM_S_FA_INVTURNDAYS</stp>
        <stp>3</stp>
        <stp>600519.sh</stp>
        <stp>2011-12-31</stp>
        <stp>1</stp>
        <tr r="F216" s="5"/>
      </tp>
      <tp>
        <v>1669.5738529344351</v>
        <stp/>
        <stp>EM_S_FA_INVTURNDAYS</stp>
        <stp>3</stp>
        <stp>600519.sh</stp>
        <stp>2010-12-31</stp>
        <stp>1</stp>
        <tr r="E216" s="5"/>
      </tp>
      <tp>
        <v>1764.1738379208309</v>
        <stp/>
        <stp>EM_S_FA_INVTURNDAYS</stp>
        <stp>3</stp>
        <stp>600519.sh</stp>
        <stp>2013-12-31</stp>
        <stp>1</stp>
        <tr r="H216" s="5"/>
      </tp>
      <tp>
        <v>1483.8832497396161</v>
        <stp/>
        <stp>EM_S_FA_INVTURNDAYS</stp>
        <stp>3</stp>
        <stp>600519.sh</stp>
        <stp>2012-12-31</stp>
        <stp>1</stp>
        <tr r="G216" s="5"/>
      </tp>
      <tp>
        <v>1257.3503114685111</v>
        <stp/>
        <stp>EM_S_FA_INVTURNDAYS</stp>
        <stp>3</stp>
        <stp>600519.sh</stp>
        <stp>2018-12-31</stp>
        <stp>1</stp>
        <tr r="M216" s="5"/>
      </tp>
      <tp>
        <v>1383.4691485847079</v>
        <stp/>
        <stp>EM_S_FA_INVTURNDAYS</stp>
        <stp>3</stp>
        <stp>600519.sh</stp>
        <stp>2009-12-31</stp>
        <stp>1</stp>
        <tr r="D216" s="5"/>
      </tp>
      <tp>
        <v>59.890863147902998</v>
        <stp/>
        <stp>EM_S_FA_APTURNDAYS</stp>
        <stp>3</stp>
        <stp>600519.sh</stp>
        <stp>2018-12-31</stp>
        <stp>1</stp>
        <tr r="M292" s="5"/>
      </tp>
      <tp>
        <v>101.429505032305</v>
        <stp/>
        <stp>EM_S_FA_APTURNDAYS</stp>
        <stp>3</stp>
        <stp>600519.sh</stp>
        <stp>2016-12-31</stp>
        <stp>1</stp>
        <tr r="K292" s="5"/>
      </tp>
      <tp>
        <v>61.591357527775003</v>
        <stp/>
        <stp>EM_S_FA_APTURNDAYS</stp>
        <stp>3</stp>
        <stp>600519.sh</stp>
        <stp>2017-12-31</stp>
        <stp>1</stp>
        <tr r="L292" s="5"/>
      </tp>
      <tp>
        <v>76.376766757067998</v>
        <stp/>
        <stp>EM_S_FA_APTURNDAYS</stp>
        <stp>3</stp>
        <stp>600519.sh</stp>
        <stp>2014-12-31</stp>
        <stp>1</stp>
        <tr r="I292" s="5"/>
      </tp>
      <tp>
        <v>112.645357550586</v>
        <stp/>
        <stp>EM_S_FA_APTURNDAYS</stp>
        <stp>3</stp>
        <stp>600519.sh</stp>
        <stp>2015-12-31</stp>
        <stp>1</stp>
        <tr r="J292" s="5"/>
      </tp>
      <tp>
        <v>45.576542811465998</v>
        <stp/>
        <stp>EM_S_FA_APTURNDAYS</stp>
        <stp>3</stp>
        <stp>600519.sh</stp>
        <stp>2012-12-31</stp>
        <stp>1</stp>
        <tr r="G292" s="5"/>
      </tp>
      <tp>
        <v>51.690696134037999</v>
        <stp/>
        <stp>EM_S_FA_APTURNDAYS</stp>
        <stp>3</stp>
        <stp>600519.sh</stp>
        <stp>2013-12-31</stp>
        <stp>1</stp>
        <tr r="H292" s="5"/>
      </tp>
      <tp>
        <v>63.445909253468002</v>
        <stp/>
        <stp>EM_S_FA_APTURNDAYS</stp>
        <stp>3</stp>
        <stp>600519.sh</stp>
        <stp>2010-12-31</stp>
        <stp>1</stp>
        <tr r="E292" s="5"/>
      </tp>
      <tp>
        <v>46.920197213618003</v>
        <stp/>
        <stp>EM_S_FA_APTURNDAYS</stp>
        <stp>3</stp>
        <stp>600519.sh</stp>
        <stp>2011-12-31</stp>
        <stp>1</stp>
        <tr r="F292" s="5"/>
      </tp>
      <tp>
        <v>49.306000927402003</v>
        <stp/>
        <stp>EM_S_FA_APTURNDAYS</stp>
        <stp>3</stp>
        <stp>600519.sh</stp>
        <stp>2009-12-31</stp>
        <stp>1</stp>
        <tr r="D292" s="5"/>
      </tp>
      <tp>
        <v>4.3642742535019998</v>
        <stp/>
        <stp>EM_S_FA_ARTURNDAYS</stp>
        <stp>3</stp>
        <stp>600519.sh</stp>
        <stp>2018-12-31</stp>
        <stp>1</stp>
        <tr r="M254" s="5"/>
      </tp>
      <tp>
        <v>43.523610039886002</v>
        <stp/>
        <stp>EM_S_FA_ARTURNDAYS</stp>
        <stp>3</stp>
        <stp>600519.sh</stp>
        <stp>2016-12-31</stp>
        <stp>1</stp>
        <tr r="K254" s="5"/>
      </tp>
      <tp>
        <v>6.3052810545389999</v>
        <stp/>
        <stp>EM_S_FA_ARTURNDAYS</stp>
        <stp>3</stp>
        <stp>600519.sh</stp>
        <stp>2017-12-31</stp>
        <stp>1</stp>
        <tr r="L254" s="5"/>
      </tp>
      <tp>
        <v>12.252136469357</v>
        <stp/>
        <stp>EM_S_FA_ARTURNDAYS</stp>
        <stp>3</stp>
        <stp>600519.sh</stp>
        <stp>2014-12-31</stp>
        <stp>1</stp>
        <tr r="I254" s="5"/>
      </tp>
      <tp>
        <v>57.491117696247002</v>
        <stp/>
        <stp>EM_S_FA_ARTURNDAYS</stp>
        <stp>3</stp>
        <stp>600519.sh</stp>
        <stp>2015-12-31</stp>
        <stp>1</stp>
        <tr r="J254" s="5"/>
      </tp>
      <tp>
        <v>3.2401906790330002</v>
        <stp/>
        <stp>EM_S_FA_ARTURNDAYS</stp>
        <stp>3</stp>
        <stp>600519.sh</stp>
        <stp>2012-12-31</stp>
        <stp>1</stp>
        <tr r="G254" s="5"/>
      </tp>
      <tp>
        <v>3.0206367267699998</v>
        <stp/>
        <stp>EM_S_FA_ARTURNDAYS</stp>
        <stp>3</stp>
        <stp>600519.sh</stp>
        <stp>2013-12-31</stp>
        <stp>1</stp>
        <tr r="H254" s="5"/>
      </tp>
      <tp>
        <v>9.4107748243150002</v>
        <stp/>
        <stp>EM_S_FA_ARTURNDAYS</stp>
        <stp>3</stp>
        <stp>600519.sh</stp>
        <stp>2010-12-31</stp>
        <stp>1</stp>
        <tr r="E254" s="5"/>
      </tp>
      <tp>
        <v>4.5032631925139999</v>
        <stp/>
        <stp>EM_S_FA_ARTURNDAYS</stp>
        <stp>3</stp>
        <stp>600519.sh</stp>
        <stp>2011-12-31</stp>
        <stp>1</stp>
        <tr r="F254" s="5"/>
      </tp>
      <tp>
        <v>11.309739897394</v>
        <stp/>
        <stp>EM_S_FA_ARTURNDAYS</stp>
        <stp>3</stp>
        <stp>600519.sh</stp>
        <stp>2009-12-31</stp>
        <stp>1</stp>
        <tr r="D254" s="5"/>
      </tp>
      <tp>
        <v>51.43034696098286</v>
        <stp/>
        <stp>EM_BK_FA_ALL_GROSSPROFITMARGIN</stp>
        <stp>3</stp>
        <stp>004002002</stp>
        <stp>2009-12-31</stp>
        <stp>0</stp>
        <tr r="D24" s="7"/>
      </tp>
      <tp>
        <v>60.545672996789328</v>
        <stp/>
        <stp>EM_BK_FA_ALL_GROSSPROFITMARGIN</stp>
        <stp>3</stp>
        <stp>004002002</stp>
        <stp>2016-12-31</stp>
        <stp>0</stp>
        <tr r="K24" s="7"/>
      </tp>
      <tp>
        <v>63.389409057607153</v>
        <stp/>
        <stp>EM_BK_FA_ALL_GROSSPROFITMARGIN</stp>
        <stp>3</stp>
        <stp>004002002</stp>
        <stp>2017-12-31</stp>
        <stp>0</stp>
        <tr r="L24" s="7"/>
      </tp>
      <tp>
        <v>57.391734374482432</v>
        <stp/>
        <stp>EM_BK_FA_ALL_GROSSPROFITMARGIN</stp>
        <stp>3</stp>
        <stp>004002002</stp>
        <stp>2014-12-31</stp>
        <stp>0</stp>
        <tr r="I24" s="7"/>
      </tp>
      <tp>
        <v>57.901881816528068</v>
        <stp/>
        <stp>EM_BK_FA_ALL_GROSSPROFITMARGIN</stp>
        <stp>3</stp>
        <stp>004002002</stp>
        <stp>2015-12-31</stp>
        <stp>0</stp>
        <tr r="J24" s="7"/>
      </tp>
      <tp>
        <v>59.194599229688457</v>
        <stp/>
        <stp>EM_BK_FA_ALL_GROSSPROFITMARGIN</stp>
        <stp>3</stp>
        <stp>004002002</stp>
        <stp>2012-12-31</stp>
        <stp>0</stp>
        <tr r="G24" s="7"/>
      </tp>
      <tp>
        <v>58.061181894657608</v>
        <stp/>
        <stp>EM_BK_FA_ALL_GROSSPROFITMARGIN</stp>
        <stp>3</stp>
        <stp>004002002</stp>
        <stp>2013-12-31</stp>
        <stp>0</stp>
        <tr r="H24" s="7"/>
      </tp>
      <tp>
        <v>53.680692740111859</v>
        <stp/>
        <stp>EM_BK_FA_ALL_GROSSPROFITMARGIN</stp>
        <stp>3</stp>
        <stp>004002002</stp>
        <stp>2010-12-31</stp>
        <stp>0</stp>
        <tr r="E24" s="7"/>
      </tp>
      <tp>
        <v>56.578112831003779</v>
        <stp/>
        <stp>EM_BK_FA_ALL_GROSSPROFITMARGIN</stp>
        <stp>3</stp>
        <stp>004002002</stp>
        <stp>2011-12-31</stp>
        <stp>0</stp>
        <tr r="F24" s="7"/>
      </tp>
      <tp>
        <v>64.914993420828367</v>
        <stp/>
        <stp>EM_BK_FA_ALL_GROSSPROFITMARGIN</stp>
        <stp>3</stp>
        <stp>004002002</stp>
        <stp>2018-12-31</stp>
        <stp>0</stp>
        <tr r="M24" s="7"/>
      </tp>
      <tp>
        <v>61.9737571575102</v>
        <stp/>
        <stp>EM_S_FA_YOYNETPROFIT</stp>
        <stp>2</stp>
        <stp>600519.sh</stp>
        <stp>2017-12-31</stp>
        <tr r="L254" s="7"/>
      </tp>
      <tp>
        <v>7.8389046062097014</v>
        <stp/>
        <stp>EM_S_FA_YOYNETPROFIT</stp>
        <stp>2</stp>
        <stp>600519.sh</stp>
        <stp>2016-12-31</stp>
        <tr r="K254" s="7"/>
      </tp>
      <tp>
        <v>0.99861829435575744</v>
        <stp/>
        <stp>EM_S_FA_YOYNETPROFIT</stp>
        <stp>2</stp>
        <stp>600519.sh</stp>
        <stp>2015-12-31</stp>
        <tr r="J254" s="7"/>
      </tp>
      <tp>
        <v>1.4082685520494056</v>
        <stp/>
        <stp>EM_S_FA_YOYNETPROFIT</stp>
        <stp>2</stp>
        <stp>600519.sh</stp>
        <stp>2014-12-31</stp>
        <tr r="I254" s="7"/>
      </tp>
      <tp>
        <v>0.19538661889999531</v>
        <stp/>
        <stp>EM_S_FA_LONGDEBTODEBT</stp>
        <stp>3</stp>
        <stp>600519.sh</stp>
        <stp>2009-12-31</stp>
        <stp>1</stp>
        <tr r="D218" s="2"/>
      </tp>
      <tp>
        <v>0.1420819792000039</v>
        <stp/>
        <stp>EM_S_FA_LONGDEBTODEBT</stp>
        <stp>3</stp>
        <stp>600519.sh</stp>
        <stp>2010-12-31</stp>
        <stp>1</stp>
        <tr r="E218" s="2"/>
      </tp>
      <tp>
        <v>0.17657298000000041</v>
        <stp/>
        <stp>EM_S_FA_LONGDEBTODEBT</stp>
        <stp>3</stp>
        <stp>600519.sh</stp>
        <stp>2011-12-31</stp>
        <stp>1</stp>
        <tr r="F218" s="2"/>
      </tp>
      <tp>
        <v>0.18618691030000131</v>
        <stp/>
        <stp>EM_S_FA_LONGDEBTODEBT</stp>
        <stp>3</stp>
        <stp>600519.sh</stp>
        <stp>2012-12-31</stp>
        <stp>1</stp>
        <tr r="G218" s="2"/>
      </tp>
      <tp>
        <v>0.15690868309999881</v>
        <stp/>
        <stp>EM_S_FA_LONGDEBTODEBT</stp>
        <stp>3</stp>
        <stp>600519.sh</stp>
        <stp>2013-12-31</stp>
        <stp>1</stp>
        <tr r="H218" s="2"/>
      </tp>
      <tp>
        <v>0.1682507934000044</v>
        <stp/>
        <stp>EM_S_FA_LONGDEBTODEBT</stp>
        <stp>3</stp>
        <stp>600519.sh</stp>
        <stp>2014-12-31</stp>
        <stp>1</stp>
        <tr r="I218" s="2"/>
      </tp>
      <tp>
        <v>7.7588940399997405E-2</v>
        <stp/>
        <stp>EM_S_FA_LONGDEBTODEBT</stp>
        <stp>3</stp>
        <stp>600519.sh</stp>
        <stp>2015-12-31</stp>
        <stp>1</stp>
        <tr r="J218" s="2"/>
      </tp>
      <tp>
        <v>4.20401822999961E-2</v>
        <stp/>
        <stp>EM_S_FA_LONGDEBTODEBT</stp>
        <stp>3</stp>
        <stp>600519.sh</stp>
        <stp>2016-12-31</stp>
        <stp>1</stp>
        <tr r="K218" s="2"/>
      </tp>
      <tp>
        <v>4.0346728499995897E-2</v>
        <stp/>
        <stp>EM_S_FA_LONGDEBTODEBT</stp>
        <stp>3</stp>
        <stp>600519.sh</stp>
        <stp>2017-12-31</stp>
        <stp>1</stp>
        <tr r="L218" s="2"/>
      </tp>
      <tp>
        <v>0</v>
        <stp/>
        <stp>EM_S_FA_LONGDEBTODEBT</stp>
        <stp>3</stp>
        <stp>600519.sh</stp>
        <stp>2018-12-31</stp>
        <stp>1</stp>
        <tr r="M218" s="2"/>
      </tp>
      <tp>
        <v>2397.2978492566031</v>
        <stp/>
        <stp>EM_S_FA_TURNDAYS</stp>
        <stp>3</stp>
        <stp>600519.sh</stp>
        <stp>2015-12-31</stp>
        <stp>1</stp>
        <tr r="J178" s="5"/>
      </tp>
      <tp>
        <v>2076.5442535286452</v>
        <stp/>
        <stp>EM_S_FA_TURNDAYS</stp>
        <stp>3</stp>
        <stp>600519.sh</stp>
        <stp>2014-12-31</stp>
        <stp>1</stp>
        <tr r="I178" s="5"/>
      </tp>
      <tp>
        <v>1299.5355246470608</v>
        <stp/>
        <stp>EM_S_FA_TURNDAYS</stp>
        <stp>3</stp>
        <stp>600519.sh</stp>
        <stp>2017-12-31</stp>
        <stp>1</stp>
        <tr r="L178" s="5"/>
      </tp>
      <tp>
        <v>2082.8744970932571</v>
        <stp/>
        <stp>EM_S_FA_TURNDAYS</stp>
        <stp>3</stp>
        <stp>600519.sh</stp>
        <stp>2016-12-31</stp>
        <stp>1</stp>
        <tr r="K178" s="5"/>
      </tp>
      <tp>
        <v>1485.2752743666128</v>
        <stp/>
        <stp>EM_S_FA_TURNDAYS</stp>
        <stp>3</stp>
        <stp>600519.sh</stp>
        <stp>2011-12-31</stp>
        <stp>1</stp>
        <tr r="F178" s="5"/>
      </tp>
      <tp>
        <v>1678.9846277587501</v>
        <stp/>
        <stp>EM_S_FA_TURNDAYS</stp>
        <stp>3</stp>
        <stp>600519.sh</stp>
        <stp>2010-12-31</stp>
        <stp>1</stp>
        <tr r="E178" s="5"/>
      </tp>
      <tp>
        <v>1767.1944746476008</v>
        <stp/>
        <stp>EM_S_FA_TURNDAYS</stp>
        <stp>3</stp>
        <stp>600519.sh</stp>
        <stp>2013-12-31</stp>
        <stp>1</stp>
        <tr r="H178" s="5"/>
      </tp>
      <tp>
        <v>1487.1234404186491</v>
        <stp/>
        <stp>EM_S_FA_TURNDAYS</stp>
        <stp>3</stp>
        <stp>600519.sh</stp>
        <stp>2012-12-31</stp>
        <stp>1</stp>
        <tr r="G178" s="5"/>
      </tp>
      <tp>
        <v>1261.714585722013</v>
        <stp/>
        <stp>EM_S_FA_TURNDAYS</stp>
        <stp>3</stp>
        <stp>600519.sh</stp>
        <stp>2018-12-31</stp>
        <stp>1</stp>
        <tr r="M178" s="5"/>
      </tp>
      <tp>
        <v>1394.7788884821018</v>
        <stp/>
        <stp>EM_S_FA_TURNDAYS</stp>
        <stp>3</stp>
        <stp>600519.sh</stp>
        <stp>2009-12-31</stp>
        <stp>1</stp>
        <tr r="D178" s="5"/>
      </tp>
      <tp>
        <v>13.740225672382206</v>
        <stp/>
        <stp>EM_S_FA_YOYNETPROFIT</stp>
        <stp>2</stp>
        <stp>600519.sh</stp>
        <stp>2013-12-31</stp>
        <tr r="H254" s="7"/>
      </tp>
      <tp>
        <v>2.7062891935454534</v>
        <stp/>
        <stp>EM_BK_FA_ALL_FATURN</stp>
        <stp>3</stp>
        <stp>001004</stp>
        <stp>2009-12-31</stp>
        <stp>0</stp>
        <tr r="D101" s="5"/>
      </tp>
      <tp>
        <v>3.2312628496056948</v>
        <stp/>
        <stp>EM_BK_FA_ALL_FATURN</stp>
        <stp>3</stp>
        <stp>001004</stp>
        <stp>2018-12-31</stp>
        <stp>0</stp>
        <tr r="M101" s="5"/>
      </tp>
      <tp>
        <v>3.0834160838204947</v>
        <stp/>
        <stp>EM_BK_FA_ALL_FATURN</stp>
        <stp>3</stp>
        <stp>001004</stp>
        <stp>2017-12-31</stp>
        <stp>0</stp>
        <tr r="L101" s="5"/>
      </tp>
      <tp>
        <v>2.8108060013827401</v>
        <stp/>
        <stp>EM_BK_FA_ALL_FATURN</stp>
        <stp>3</stp>
        <stp>001004</stp>
        <stp>2016-12-31</stp>
        <stp>0</stp>
        <tr r="K101" s="5"/>
      </tp>
      <tp>
        <v>2.833618829832028</v>
        <stp/>
        <stp>EM_BK_FA_ALL_FATURN</stp>
        <stp>3</stp>
        <stp>001004</stp>
        <stp>2015-12-31</stp>
        <stp>0</stp>
        <tr r="J101" s="5"/>
      </tp>
      <tp>
        <v>3.0495656706753445</v>
        <stp/>
        <stp>EM_BK_FA_ALL_FATURN</stp>
        <stp>3</stp>
        <stp>001004</stp>
        <stp>2014-12-31</stp>
        <stp>0</stp>
        <tr r="I101" s="5"/>
      </tp>
      <tp>
        <v>3.1813148814082024</v>
        <stp/>
        <stp>EM_BK_FA_ALL_FATURN</stp>
        <stp>3</stp>
        <stp>001004</stp>
        <stp>2013-12-31</stp>
        <stp>0</stp>
        <tr r="H101" s="5"/>
      </tp>
      <tp>
        <v>3.2536913159357259</v>
        <stp/>
        <stp>EM_BK_FA_ALL_FATURN</stp>
        <stp>3</stp>
        <stp>001004</stp>
        <stp>2012-12-31</stp>
        <stp>0</stp>
        <tr r="G101" s="5"/>
      </tp>
      <tp>
        <v>3.333762152596905</v>
        <stp/>
        <stp>EM_BK_FA_ALL_FATURN</stp>
        <stp>3</stp>
        <stp>001004</stp>
        <stp>2011-12-31</stp>
        <stp>0</stp>
        <tr r="F101" s="5"/>
      </tp>
      <tp>
        <v>3.1327212555975246</v>
        <stp/>
        <stp>EM_BK_FA_ALL_FATURN</stp>
        <stp>3</stp>
        <stp>001004</stp>
        <stp>2010-12-31</stp>
        <stp>0</stp>
        <tr r="E101" s="5"/>
      </tp>
      <tp>
        <v>51.86417924805172</v>
        <stp/>
        <stp>EM_S_FA_YOYNETPROFIT</stp>
        <stp>2</stp>
        <stp>600519.sh</stp>
        <stp>2012-12-31</stp>
        <tr r="G254" s="7"/>
      </tp>
      <tp>
        <v>73.486615869002705</v>
        <stp/>
        <stp>EM_S_FA_YOYNETPROFIT</stp>
        <stp>2</stp>
        <stp>600519.sh</stp>
        <stp>2011-12-31</stp>
        <tr r="F254" s="7"/>
      </tp>
      <tp t="s">
        <v>饮料</v>
        <stp/>
        <stp>EM_S_INFO_INDUSTRY_EM2016</stp>
        <stp>2</stp>
        <stp>600519.sh</stp>
        <stp>2</stp>
        <tr r="F9" s="7"/>
        <tr r="F9" s="5"/>
        <tr r="F9" s="2"/>
      </tp>
      <tp>
        <v>17.130604584103729</v>
        <stp/>
        <stp>EM_S_FA_YOYNETPROFIT</stp>
        <stp>2</stp>
        <stp>600519.sh</stp>
        <stp>2010-12-31</stp>
        <tr r="E254" s="7"/>
      </tp>
      <tp>
        <v>5.4884972141116366</v>
        <stp/>
        <stp>EM_BK_FA_ALL_BPS</stp>
        <stp>3</stp>
        <stp>001004</stp>
        <stp>2018-12-31</stp>
        <stp>0</stp>
        <tr r="M218" s="7"/>
      </tp>
      <tp>
        <v>5.3045735023955416</v>
        <stp/>
        <stp>EM_BK_FA_ALL_BPS</stp>
        <stp>3</stp>
        <stp>001004</stp>
        <stp>2017-12-31</stp>
        <stp>0</stp>
        <tr r="L218" s="7"/>
      </tp>
      <tp>
        <v>5.0631486837072783</v>
        <stp/>
        <stp>EM_BK_FA_ALL_BPS</stp>
        <stp>3</stp>
        <stp>001004</stp>
        <stp>2016-12-31</stp>
        <stp>0</stp>
        <tr r="K218" s="7"/>
      </tp>
      <tp>
        <v>4.8815774429544874</v>
        <stp/>
        <stp>EM_BK_FA_ALL_BPS</stp>
        <stp>3</stp>
        <stp>001004</stp>
        <stp>2015-12-31</stp>
        <stp>0</stp>
        <tr r="J218" s="7"/>
      </tp>
      <tp>
        <v>4.6568330834514589</v>
        <stp/>
        <stp>EM_BK_FA_ALL_BPS</stp>
        <stp>3</stp>
        <stp>001004</stp>
        <stp>2014-12-31</stp>
        <stp>0</stp>
        <tr r="I218" s="7"/>
      </tp>
      <tp>
        <v>4.3036266425089522</v>
        <stp/>
        <stp>EM_BK_FA_ALL_BPS</stp>
        <stp>3</stp>
        <stp>001004</stp>
        <stp>2013-12-31</stp>
        <stp>0</stp>
        <tr r="H218" s="7"/>
      </tp>
      <tp>
        <v>4.0605029974905689</v>
        <stp/>
        <stp>EM_BK_FA_ALL_BPS</stp>
        <stp>3</stp>
        <stp>001004</stp>
        <stp>2012-12-31</stp>
        <stp>0</stp>
        <tr r="G218" s="7"/>
      </tp>
      <tp>
        <v>3.7427597897982086</v>
        <stp/>
        <stp>EM_BK_FA_ALL_BPS</stp>
        <stp>3</stp>
        <stp>001004</stp>
        <stp>2011-12-31</stp>
        <stp>0</stp>
        <tr r="F218" s="7"/>
      </tp>
      <tp>
        <v>3.4049981352426455</v>
        <stp/>
        <stp>EM_BK_FA_ALL_BPS</stp>
        <stp>3</stp>
        <stp>001004</stp>
        <stp>2010-12-31</stp>
        <stp>0</stp>
        <tr r="E218" s="7"/>
      </tp>
      <tp>
        <v>3.0255320480607391</v>
        <stp/>
        <stp>EM_BK_FA_ALL_BPS</stp>
        <stp>3</stp>
        <stp>001004</stp>
        <stp>2009-12-31</stp>
        <stp>0</stp>
        <tr r="D218" s="7"/>
      </tp>
      <tp>
        <v>0.60898413620648817</v>
        <stp/>
        <stp>EM_BK_FA_ALL_DEBTTOEQUITY</stp>
        <stp>3</stp>
        <stp>004002002</stp>
        <stp>2009-12-31</stp>
        <stp>0</stp>
        <tr r="D102" s="2"/>
      </tp>
      <tp>
        <v>0.46603034577265467</v>
        <stp/>
        <stp>EM_BK_FA_ALL_DEBTTOEQUITY</stp>
        <stp>3</stp>
        <stp>004002002</stp>
        <stp>2018-12-31</stp>
        <stp>0</stp>
        <tr r="M102" s="2"/>
      </tp>
      <tp>
        <v>0.71827037653940362</v>
        <stp/>
        <stp>EM_BK_FA_ALL_DEBTTOEQUITY</stp>
        <stp>3</stp>
        <stp>004002002</stp>
        <stp>2011-12-31</stp>
        <stp>0</stp>
        <tr r="F102" s="2"/>
      </tp>
      <tp>
        <v>0.67164365920065849</v>
        <stp/>
        <stp>EM_BK_FA_ALL_DEBTTOEQUITY</stp>
        <stp>3</stp>
        <stp>004002002</stp>
        <stp>2010-12-31</stp>
        <stp>0</stp>
        <tr r="E102" s="2"/>
      </tp>
      <tp>
        <v>0.5271658350763947</v>
        <stp/>
        <stp>EM_BK_FA_ALL_DEBTTOEQUITY</stp>
        <stp>3</stp>
        <stp>004002002</stp>
        <stp>2013-12-31</stp>
        <stp>0</stp>
        <tr r="H102" s="2"/>
      </tp>
      <tp>
        <v>0.62936431670878479</v>
        <stp/>
        <stp>EM_BK_FA_ALL_DEBTTOEQUITY</stp>
        <stp>3</stp>
        <stp>004002002</stp>
        <stp>2012-12-31</stp>
        <stp>0</stp>
        <tr r="G102" s="2"/>
      </tp>
      <tp>
        <v>0.45201511595730171</v>
        <stp/>
        <stp>EM_BK_FA_ALL_DEBTTOEQUITY</stp>
        <stp>3</stp>
        <stp>004002002</stp>
        <stp>2015-12-31</stp>
        <stp>0</stp>
        <tr r="J102" s="2"/>
      </tp>
      <tp>
        <v>0.4400151595852258</v>
        <stp/>
        <stp>EM_BK_FA_ALL_DEBTTOEQUITY</stp>
        <stp>3</stp>
        <stp>004002002</stp>
        <stp>2014-12-31</stp>
        <stp>0</stp>
        <tr r="I102" s="2"/>
      </tp>
      <tp>
        <v>0.47203858818287514</v>
        <stp/>
        <stp>EM_BK_FA_ALL_DEBTTOEQUITY</stp>
        <stp>3</stp>
        <stp>004002002</stp>
        <stp>2017-12-31</stp>
        <stp>0</stp>
        <tr r="L102" s="2"/>
      </tp>
      <tp>
        <v>0.51136090849064919</v>
        <stp/>
        <stp>EM_BK_FA_ALL_DEBTTOEQUITY</stp>
        <stp>3</stp>
        <stp>004002002</stp>
        <stp>2016-12-31</stp>
        <stp>0</stp>
        <tr r="K102" s="2"/>
      </tp>
      <tp>
        <v>2.694622297789</v>
        <stp/>
        <stp>EM_S_FA_QUICK</stp>
        <stp>3</stp>
        <stp>600519.sh</stp>
        <stp>2018-12-31</stp>
        <stp>1</stp>
        <tr r="M59" s="2"/>
      </tp>
      <tp>
        <v>2.6615375959729999</v>
        <stp/>
        <stp>EM_S_FA_QUICK</stp>
        <stp>3</stp>
        <stp>600519.sh</stp>
        <stp>2013-12-31</stp>
        <stp>1</stp>
        <tr r="H59" s="2"/>
      </tp>
      <tp>
        <v>2.7879725703120002</v>
        <stp/>
        <stp>EM_S_FA_QUICK</stp>
        <stp>3</stp>
        <stp>600519.sh</stp>
        <stp>2012-12-31</stp>
        <stp>1</stp>
        <tr r="G59" s="2"/>
      </tp>
      <tp>
        <v>2.177315226278</v>
        <stp/>
        <stp>EM_S_FA_QUICK</stp>
        <stp>3</stp>
        <stp>600519.sh</stp>
        <stp>2011-12-31</stp>
        <stp>1</stp>
        <tr r="F59" s="2"/>
      </tp>
      <tp>
        <v>2.0952988222150002</v>
        <stp/>
        <stp>EM_S_FA_QUICK</stp>
        <stp>3</stp>
        <stp>600519.sh</stp>
        <stp>2010-12-31</stp>
        <stp>1</stp>
        <tr r="E59" s="2"/>
      </tp>
      <tp>
        <v>2.3380918479670001</v>
        <stp/>
        <stp>EM_S_FA_QUICK</stp>
        <stp>3</stp>
        <stp>600519.sh</stp>
        <stp>2017-12-31</stp>
        <stp>1</stp>
        <tr r="L59" s="2"/>
      </tp>
      <tp>
        <v>1.878916737995</v>
        <stp/>
        <stp>EM_S_FA_QUICK</stp>
        <stp>3</stp>
        <stp>600519.sh</stp>
        <stp>2016-12-31</stp>
        <stp>1</stp>
        <tr r="K59" s="2"/>
      </tp>
      <tp>
        <v>2.343500206811</v>
        <stp/>
        <stp>EM_S_FA_QUICK</stp>
        <stp>3</stp>
        <stp>600519.sh</stp>
        <stp>2015-12-31</stp>
        <stp>1</stp>
        <tr r="J59" s="2"/>
      </tp>
      <tp>
        <v>3.0907668513619999</v>
        <stp/>
        <stp>EM_S_FA_QUICK</stp>
        <stp>3</stp>
        <stp>600519.sh</stp>
        <stp>2014-12-31</stp>
        <stp>1</stp>
        <tr r="I59" s="2"/>
      </tp>
      <tp>
        <v>2.2441678376</v>
        <stp/>
        <stp>EM_S_FA_QUICK</stp>
        <stp>3</stp>
        <stp>600519.sh</stp>
        <stp>2009-12-31</stp>
        <stp>1</stp>
        <tr r="D59" s="2"/>
      </tp>
      <tp>
        <v>18.992449195000212</v>
        <stp/>
        <stp>EM_BK_FA_ALL_NETPROFITMARGIN</stp>
        <stp>3</stp>
        <stp>004002002</stp>
        <stp>2010-12-31</stp>
        <stp>0</stp>
        <tr r="E100" s="7"/>
      </tp>
      <tp>
        <v>21.1441218646519</v>
        <stp/>
        <stp>EM_BK_FA_ALL_NETPROFITMARGIN</stp>
        <stp>3</stp>
        <stp>004002002</stp>
        <stp>2011-12-31</stp>
        <stp>0</stp>
        <tr r="F100" s="7"/>
      </tp>
      <tp>
        <v>24.154214117047161</v>
        <stp/>
        <stp>EM_BK_FA_ALL_NETPROFITMARGIN</stp>
        <stp>3</stp>
        <stp>004002002</stp>
        <stp>2012-12-31</stp>
        <stp>0</stp>
        <tr r="G100" s="7"/>
      </tp>
      <tp>
        <v>21.701103737513741</v>
        <stp/>
        <stp>EM_BK_FA_ALL_NETPROFITMARGIN</stp>
        <stp>3</stp>
        <stp>004002002</stp>
        <stp>2013-12-31</stp>
        <stp>0</stp>
        <tr r="H100" s="7"/>
      </tp>
      <tp>
        <v>20.061772666679911</v>
        <stp/>
        <stp>EM_BK_FA_ALL_NETPROFITMARGIN</stp>
        <stp>3</stp>
        <stp>004002002</stp>
        <stp>2014-12-31</stp>
        <stp>0</stp>
        <tr r="I100" s="7"/>
      </tp>
      <tp>
        <v>21.271585028378148</v>
        <stp/>
        <stp>EM_BK_FA_ALL_NETPROFITMARGIN</stp>
        <stp>3</stp>
        <stp>004002002</stp>
        <stp>2015-12-31</stp>
        <stp>0</stp>
        <tr r="J100" s="7"/>
      </tp>
      <tp>
        <v>21.519344185990498</v>
        <stp/>
        <stp>EM_BK_FA_ALL_NETPROFITMARGIN</stp>
        <stp>3</stp>
        <stp>004002002</stp>
        <stp>2016-12-31</stp>
        <stp>0</stp>
        <tr r="K100" s="7"/>
      </tp>
      <tp>
        <v>25.146466196924109</v>
        <stp/>
        <stp>EM_BK_FA_ALL_NETPROFITMARGIN</stp>
        <stp>3</stp>
        <stp>004002002</stp>
        <stp>2017-12-31</stp>
        <stp>0</stp>
        <tr r="L100" s="7"/>
      </tp>
      <tp>
        <v>26.984411414204047</v>
        <stp/>
        <stp>EM_BK_FA_ALL_NETPROFITMARGIN</stp>
        <stp>3</stp>
        <stp>004002002</stp>
        <stp>2018-12-31</stp>
        <stp>0</stp>
        <tr r="M100" s="7"/>
      </tp>
      <tp>
        <v>17.634588119435126</v>
        <stp/>
        <stp>EM_BK_FA_ALL_NETPROFITMARGIN</stp>
        <stp>3</stp>
        <stp>004002002</stp>
        <stp>2009-12-31</stp>
        <stp>0</stp>
        <tr r="D100" s="7"/>
      </tp>
      <tp>
        <v>36.708736201721756</v>
        <stp/>
        <stp>EM_BK_FA_ALL_DEBTTOASSETS</stp>
        <stp>3</stp>
        <stp>004002002</stp>
        <stp>2009-12-31</stp>
        <stp>0</stp>
        <tr r="D141" s="2"/>
      </tp>
      <tp>
        <v>31.184429763728229</v>
        <stp/>
        <stp>EM_BK_FA_ALL_DEBTTOASSETS</stp>
        <stp>3</stp>
        <stp>004002002</stp>
        <stp>2018-12-31</stp>
        <stp>0</stp>
        <tr r="M141" s="2"/>
      </tp>
      <tp>
        <v>31.38626057846286</v>
        <stp/>
        <stp>EM_BK_FA_ALL_DEBTTOASSETS</stp>
        <stp>3</stp>
        <stp>004002002</stp>
        <stp>2017-12-31</stp>
        <stp>0</stp>
        <tr r="L141" s="2"/>
      </tp>
      <tp>
        <v>33.178423576906638</v>
        <stp/>
        <stp>EM_BK_FA_ALL_DEBTTOASSETS</stp>
        <stp>3</stp>
        <stp>004002002</stp>
        <stp>2016-12-31</stp>
        <stp>0</stp>
        <tr r="K141" s="2"/>
      </tp>
      <tp>
        <v>30.576450834864811</v>
        <stp/>
        <stp>EM_BK_FA_ALL_DEBTTOASSETS</stp>
        <stp>3</stp>
        <stp>004002002</stp>
        <stp>2015-12-31</stp>
        <stp>0</stp>
        <tr r="J141" s="2"/>
      </tp>
      <tp>
        <v>29.962111001819409</v>
        <stp/>
        <stp>EM_BK_FA_ALL_DEBTTOASSETS</stp>
        <stp>3</stp>
        <stp>004002002</stp>
        <stp>2014-12-31</stp>
        <stp>0</stp>
        <tr r="I141" s="2"/>
      </tp>
      <tp>
        <v>33.816236312719631</v>
        <stp/>
        <stp>EM_BK_FA_ALL_DEBTTOASSETS</stp>
        <stp>3</stp>
        <stp>004002002</stp>
        <stp>2013-12-31</stp>
        <stp>0</stp>
        <tr r="H141" s="2"/>
      </tp>
      <tp>
        <v>37.779678963039423</v>
        <stp/>
        <stp>EM_BK_FA_ALL_DEBTTOASSETS</stp>
        <stp>3</stp>
        <stp>004002002</stp>
        <stp>2012-12-31</stp>
        <stp>0</stp>
        <tr r="G141" s="2"/>
      </tp>
      <tp>
        <v>41.026110727444554</v>
        <stp/>
        <stp>EM_BK_FA_ALL_DEBTTOASSETS</stp>
        <stp>3</stp>
        <stp>004002002</stp>
        <stp>2011-12-31</stp>
        <stp>0</stp>
        <tr r="F141" s="2"/>
      </tp>
      <tp>
        <v>39.178081127750445</v>
        <stp/>
        <stp>EM_BK_FA_ALL_DEBTTOASSETS</stp>
        <stp>3</stp>
        <stp>004002002</stp>
        <stp>2010-12-31</stp>
        <stp>0</stp>
        <tr r="E141" s="2"/>
      </tp>
      <tp>
        <v>13.50093936054151</v>
        <stp/>
        <stp>EM_S_FA_YOYNETPROFIT</stp>
        <stp>2</stp>
        <stp>600519.sh</stp>
        <stp>2009-12-31</stp>
        <tr r="D254" s="7"/>
      </tp>
      <tp>
        <v>30.001687376487794</v>
        <stp/>
        <stp>EM_S_FA_YOYNETPROFIT</stp>
        <stp>2</stp>
        <stp>600519.sh</stp>
        <stp>2018-12-31</stp>
        <tr r="M254" s="7"/>
      </tp>
      <tp>
        <v>-1.2563965616500374</v>
        <stp/>
        <stp>EM_BK_FA_ALL_YOY_OR</stp>
        <stp>3</stp>
        <stp>001004</stp>
        <stp>2015-12-31</stp>
        <stp>0</stp>
        <tr r="J294" s="7"/>
      </tp>
      <tp>
        <v>5.4830019403837538</v>
        <stp/>
        <stp>EM_BK_FA_ALL_YOY_OR</stp>
        <stp>3</stp>
        <stp>001004</stp>
        <stp>2014-12-31</stp>
        <stp>0</stp>
        <tr r="I294" s="7"/>
      </tp>
      <tp>
        <v>17.624320944481681</v>
        <stp/>
        <stp>EM_BK_FA_ALL_YOY_OR</stp>
        <stp>3</stp>
        <stp>001004</stp>
        <stp>2017-12-31</stp>
        <stp>0</stp>
        <tr r="L294" s="7"/>
      </tp>
      <tp>
        <v>6.8145399941204792</v>
        <stp/>
        <stp>EM_BK_FA_ALL_YOY_OR</stp>
        <stp>3</stp>
        <stp>001004</stp>
        <stp>2016-12-31</stp>
        <stp>0</stp>
        <tr r="K294" s="7"/>
      </tp>
      <tp>
        <v>20.836947487591068</v>
        <stp/>
        <stp>EM_BK_FA_ALL_YOY_OR</stp>
        <stp>3</stp>
        <stp>001004</stp>
        <stp>2011-12-31</stp>
        <stp>0</stp>
        <tr r="F294" s="7"/>
      </tp>
      <tp>
        <v>33.831493282781928</v>
        <stp/>
        <stp>EM_BK_FA_ALL_YOY_OR</stp>
        <stp>3</stp>
        <stp>001004</stp>
        <stp>2010-12-31</stp>
        <stp>0</stp>
        <tr r="E294" s="7"/>
      </tp>
      <tp>
        <v>9.2636757295265149</v>
        <stp/>
        <stp>EM_BK_FA_ALL_YOY_OR</stp>
        <stp>3</stp>
        <stp>001004</stp>
        <stp>2013-12-31</stp>
        <stp>0</stp>
        <tr r="H294" s="7"/>
      </tp>
      <tp>
        <v>8.0137221551925286</v>
        <stp/>
        <stp>EM_BK_FA_ALL_YOY_OR</stp>
        <stp>3</stp>
        <stp>001004</stp>
        <stp>2012-12-31</stp>
        <stp>0</stp>
        <tr r="G294" s="7"/>
      </tp>
      <tp>
        <v>11.613320093655066</v>
        <stp/>
        <stp>EM_BK_FA_ALL_YOY_OR</stp>
        <stp>3</stp>
        <stp>001004</stp>
        <stp>2018-12-31</stp>
        <stp>0</stp>
        <tr r="M294" s="7"/>
      </tp>
      <tp>
        <v>4.183413429861246</v>
        <stp/>
        <stp>EM_BK_FA_ALL_YOY_OR</stp>
        <stp>3</stp>
        <stp>001004</stp>
        <stp>2009-12-31</stp>
        <stp>0</stp>
        <tr r="D294" s="7"/>
      </tp>
      <tp>
        <v>12.884598907137075</v>
        <stp/>
        <stp>EM_BK_FA_ALL_ARTURN</stp>
        <stp>3</stp>
        <stp>001004</stp>
        <stp>2009-12-31</stp>
        <stp>0</stp>
        <tr r="D25" s="5"/>
      </tp>
      <tp>
        <v>8.2535889657960837</v>
        <stp/>
        <stp>EM_BK_FA_ALL_ARTURN</stp>
        <stp>3</stp>
        <stp>001004</stp>
        <stp>2018-12-31</stp>
        <stp>0</stp>
        <tr r="M25" s="5"/>
      </tp>
      <tp>
        <v>8.1202436411432029</v>
        <stp/>
        <stp>EM_BK_FA_ALL_ARTURN</stp>
        <stp>3</stp>
        <stp>001004</stp>
        <stp>2017-12-31</stp>
        <stp>0</stp>
        <tr r="L25" s="5"/>
      </tp>
      <tp>
        <v>7.8818761923626024</v>
        <stp/>
        <stp>EM_BK_FA_ALL_ARTURN</stp>
        <stp>3</stp>
        <stp>001004</stp>
        <stp>2016-12-31</stp>
        <stp>0</stp>
        <tr r="K25" s="5"/>
      </tp>
      <tp>
        <v>8.2780371470125687</v>
        <stp/>
        <stp>EM_BK_FA_ALL_ARTURN</stp>
        <stp>3</stp>
        <stp>001004</stp>
        <stp>2015-12-31</stp>
        <stp>0</stp>
        <tr r="J25" s="5"/>
      </tp>
      <tp>
        <v>9.5981836315380029</v>
        <stp/>
        <stp>EM_BK_FA_ALL_ARTURN</stp>
        <stp>3</stp>
        <stp>001004</stp>
        <stp>2014-12-31</stp>
        <stp>0</stp>
        <tr r="I25" s="5"/>
      </tp>
      <tp>
        <v>10.811716218311046</v>
        <stp/>
        <stp>EM_BK_FA_ALL_ARTURN</stp>
        <stp>3</stp>
        <stp>001004</stp>
        <stp>2013-12-31</stp>
        <stp>0</stp>
        <tr r="H25" s="5"/>
      </tp>
      <tp>
        <v>10.792541298320536</v>
        <stp/>
        <stp>EM_BK_FA_ALL_ARTURN</stp>
        <stp>3</stp>
        <stp>001004</stp>
        <stp>2012-12-31</stp>
        <stp>0</stp>
        <tr r="G25" s="5"/>
      </tp>
      <tp>
        <v>12.09605786003736</v>
        <stp/>
        <stp>EM_BK_FA_ALL_ARTURN</stp>
        <stp>3</stp>
        <stp>001004</stp>
        <stp>2011-12-31</stp>
        <stp>0</stp>
        <tr r="F25" s="5"/>
      </tp>
      <tp>
        <v>13.851042973128823</v>
        <stp/>
        <stp>EM_BK_FA_ALL_ARTURN</stp>
        <stp>3</stp>
        <stp>001004</stp>
        <stp>2010-12-31</stp>
        <stp>0</stp>
        <tr r="E25" s="5"/>
      </tp>
      <tp>
        <v>82.563449530252939</v>
        <stp/>
        <stp>EM_BK_FA_ALL_INVTURNDAYS</stp>
        <stp>3</stp>
        <stp>001004</stp>
        <stp>2010-12-31</stp>
        <stp>0</stp>
        <tr r="E218" s="5"/>
      </tp>
      <tp>
        <v>86.066705458643028</v>
        <stp/>
        <stp>EM_BK_FA_ALL_INVTURNDAYS</stp>
        <stp>3</stp>
        <stp>001004</stp>
        <stp>2011-12-31</stp>
        <stp>0</stp>
        <tr r="F218" s="5"/>
      </tp>
      <tp>
        <v>96.38933089109085</v>
        <stp/>
        <stp>EM_BK_FA_ALL_INVTURNDAYS</stp>
        <stp>3</stp>
        <stp>001004</stp>
        <stp>2012-12-31</stp>
        <stp>0</stp>
        <tr r="G218" s="5"/>
      </tp>
      <tp>
        <v>103.0432970671165</v>
        <stp/>
        <stp>EM_BK_FA_ALL_INVTURNDAYS</stp>
        <stp>3</stp>
        <stp>001004</stp>
        <stp>2013-12-31</stp>
        <stp>0</stp>
        <tr r="H218" s="5"/>
      </tp>
      <tp>
        <v>112.58988083067113</v>
        <stp/>
        <stp>EM_BK_FA_ALL_INVTURNDAYS</stp>
        <stp>3</stp>
        <stp>001004</stp>
        <stp>2014-12-31</stp>
        <stp>0</stp>
        <tr r="I218" s="5"/>
      </tp>
      <tp>
        <v>129.79101198138309</v>
        <stp/>
        <stp>EM_BK_FA_ALL_INVTURNDAYS</stp>
        <stp>3</stp>
        <stp>001004</stp>
        <stp>2015-12-31</stp>
        <stp>0</stp>
        <tr r="J218" s="5"/>
      </tp>
      <tp>
        <v>133.59249253022944</v>
        <stp/>
        <stp>EM_BK_FA_ALL_INVTURNDAYS</stp>
        <stp>3</stp>
        <stp>001004</stp>
        <stp>2016-12-31</stp>
        <stp>0</stp>
        <tr r="K218" s="5"/>
      </tp>
      <tp>
        <v>128.09647095584324</v>
        <stp/>
        <stp>EM_BK_FA_ALL_INVTURNDAYS</stp>
        <stp>3</stp>
        <stp>001004</stp>
        <stp>2017-12-31</stp>
        <stp>0</stp>
        <tr r="L218" s="5"/>
      </tp>
      <tp>
        <v>129.26442309483571</v>
        <stp/>
        <stp>EM_BK_FA_ALL_INVTURNDAYS</stp>
        <stp>3</stp>
        <stp>001004</stp>
        <stp>2018-12-31</stp>
        <stp>0</stp>
        <tr r="M218" s="5"/>
      </tp>
      <tp>
        <v>88.139446258212814</v>
        <stp/>
        <stp>EM_BK_FA_ALL_INVTURNDAYS</stp>
        <stp>3</stp>
        <stp>001004</stp>
        <stp>2009-12-31</stp>
        <stp>0</stp>
        <tr r="D218" s="5"/>
      </tp>
      <tp>
        <v>1.7540540299823981</v>
        <stp/>
        <stp>EM_BK_FA_ALL_CURRENT</stp>
        <stp>3</stp>
        <stp>004002002</stp>
        <stp>2009-12-31</stp>
        <stp>0</stp>
        <tr r="D22" s="2"/>
      </tp>
      <tp>
        <v>2.5733775799874148</v>
        <stp/>
        <stp>EM_BK_FA_ALL_CURRENT</stp>
        <stp>3</stp>
        <stp>004002002</stp>
        <stp>2018-12-31</stp>
        <stp>0</stp>
        <tr r="M22" s="2"/>
      </tp>
      <tp>
        <v>1.7379576986706464</v>
        <stp/>
        <stp>EM_BK_FA_ALL_CURRENT</stp>
        <stp>3</stp>
        <stp>004002002</stp>
        <stp>2011-12-31</stp>
        <stp>0</stp>
        <tr r="F22" s="2"/>
      </tp>
      <tp>
        <v>1.7532295516628034</v>
        <stp/>
        <stp>EM_BK_FA_ALL_CURRENT</stp>
        <stp>3</stp>
        <stp>004002002</stp>
        <stp>2010-12-31</stp>
        <stp>0</stp>
        <tr r="E22" s="2"/>
      </tp>
      <tp>
        <v>2.071460195004879</v>
        <stp/>
        <stp>EM_BK_FA_ALL_CURRENT</stp>
        <stp>3</stp>
        <stp>004002002</stp>
        <stp>2013-12-31</stp>
        <stp>0</stp>
        <tr r="H22" s="2"/>
      </tp>
      <tp>
        <v>1.9269570854451479</v>
        <stp/>
        <stp>EM_BK_FA_ALL_CURRENT</stp>
        <stp>3</stp>
        <stp>004002002</stp>
        <stp>2012-12-31</stp>
        <stp>0</stp>
        <tr r="G22" s="2"/>
      </tp>
      <tp>
        <v>2.4038009074342965</v>
        <stp/>
        <stp>EM_BK_FA_ALL_CURRENT</stp>
        <stp>3</stp>
        <stp>004002002</stp>
        <stp>2015-12-31</stp>
        <stp>0</stp>
        <tr r="J22" s="2"/>
      </tp>
      <tp>
        <v>2.3669946808869788</v>
        <stp/>
        <stp>EM_BK_FA_ALL_CURRENT</stp>
        <stp>3</stp>
        <stp>004002002</stp>
        <stp>2014-12-31</stp>
        <stp>0</stp>
        <tr r="I22" s="2"/>
      </tp>
      <tp>
        <v>2.4581766311477247</v>
        <stp/>
        <stp>EM_BK_FA_ALL_CURRENT</stp>
        <stp>3</stp>
        <stp>004002002</stp>
        <stp>2017-12-31</stp>
        <stp>0</stp>
        <tr r="L22" s="2"/>
      </tp>
      <tp>
        <v>2.2595001114518851</v>
        <stp/>
        <stp>EM_BK_FA_ALL_CURRENT</stp>
        <stp>3</stp>
        <stp>004002002</stp>
        <stp>2016-12-31</stp>
        <stp>0</stp>
        <tr r="K22" s="2"/>
      </tp>
      <tp>
        <v>41.519047086700532</v>
        <stp/>
        <stp>EM_BK_FA_ALL_YOYNETPROFIT</stp>
        <stp>3</stp>
        <stp>004002002</stp>
        <stp>2009-12-31</stp>
        <stp>0</stp>
        <tr r="D255" s="7"/>
      </tp>
      <tp>
        <v>30.380273249465073</v>
        <stp/>
        <stp>EM_BK_FA_ALL_YOYNETPROFIT</stp>
        <stp>3</stp>
        <stp>004002002</stp>
        <stp>2018-12-31</stp>
        <stp>0</stp>
        <tr r="M255" s="7"/>
      </tp>
      <tp>
        <v>35.893196033326269</v>
        <stp/>
        <stp>EM_BK_FA_ALL_YOYNETPROFIT</stp>
        <stp>3</stp>
        <stp>004002002</stp>
        <stp>2017-12-31</stp>
        <stp>0</stp>
        <tr r="L255" s="7"/>
      </tp>
      <tp>
        <v>7.0966548951579362</v>
        <stp/>
        <stp>EM_BK_FA_ALL_YOYNETPROFIT</stp>
        <stp>3</stp>
        <stp>004002002</stp>
        <stp>2016-12-31</stp>
        <stp>0</stp>
        <tr r="K255" s="7"/>
      </tp>
      <tp>
        <v>9.4309249469400278</v>
        <stp/>
        <stp>EM_BK_FA_ALL_YOYNETPROFIT</stp>
        <stp>3</stp>
        <stp>004002002</stp>
        <stp>2015-12-31</stp>
        <stp>0</stp>
        <tr r="J255" s="7"/>
      </tp>
      <tp>
        <v>-13.136518511487521</v>
        <stp/>
        <stp>EM_BK_FA_ALL_YOYNETPROFIT</stp>
        <stp>3</stp>
        <stp>004002002</stp>
        <stp>2014-12-31</stp>
        <stp>0</stp>
        <tr r="I255" s="7"/>
      </tp>
      <tp>
        <v>-10.866518267106922</v>
        <stp/>
        <stp>EM_BK_FA_ALL_YOYNETPROFIT</stp>
        <stp>3</stp>
        <stp>004002002</stp>
        <stp>2013-12-31</stp>
        <stp>0</stp>
        <tr r="H255" s="7"/>
      </tp>
      <tp>
        <v>41.812754182272343</v>
        <stp/>
        <stp>EM_BK_FA_ALL_YOYNETPROFIT</stp>
        <stp>3</stp>
        <stp>004002002</stp>
        <stp>2012-12-31</stp>
        <stp>0</stp>
        <tr r="G255" s="7"/>
      </tp>
      <tp>
        <v>45.221218004264479</v>
        <stp/>
        <stp>EM_BK_FA_ALL_YOYNETPROFIT</stp>
        <stp>3</stp>
        <stp>004002002</stp>
        <stp>2011-12-31</stp>
        <stp>0</stp>
        <tr r="F255" s="7"/>
      </tp>
      <tp>
        <v>32.551770749488377</v>
        <stp/>
        <stp>EM_BK_FA_ALL_YOYNETPROFIT</stp>
        <stp>3</stp>
        <stp>004002002</stp>
        <stp>2010-12-31</stp>
        <stp>0</stp>
        <tr r="E255" s="7"/>
      </tp>
      <tp>
        <v>1.641658693111905</v>
        <stp/>
        <stp>EM_BK_FA_ALL_INVTURN</stp>
        <stp>3</stp>
        <stp>004002002</stp>
        <stp>2009-12-31</stp>
        <stp>0</stp>
        <tr r="D62" s="5"/>
      </tp>
      <tp>
        <v>1.0421116658644847</v>
        <stp/>
        <stp>EM_BK_FA_ALL_INVTURN</stp>
        <stp>3</stp>
        <stp>004002002</stp>
        <stp>2018-12-31</stp>
        <stp>0</stp>
        <tr r="M62" s="5"/>
      </tp>
      <tp>
        <v>0.97135086144669591</v>
        <stp/>
        <stp>EM_BK_FA_ALL_INVTURN</stp>
        <stp>3</stp>
        <stp>004002002</stp>
        <stp>2017-12-31</stp>
        <stp>0</stp>
        <tr r="L62" s="5"/>
      </tp>
      <tp>
        <v>0.94375881328627487</v>
        <stp/>
        <stp>EM_BK_FA_ALL_INVTURN</stp>
        <stp>3</stp>
        <stp>004002002</stp>
        <stp>2016-12-31</stp>
        <stp>0</stp>
        <tr r="K62" s="5"/>
      </tp>
      <tp>
        <v>0.99412610496857168</v>
        <stp/>
        <stp>EM_BK_FA_ALL_INVTURN</stp>
        <stp>3</stp>
        <stp>004002002</stp>
        <stp>2015-12-31</stp>
        <stp>0</stp>
        <tr r="J62" s="5"/>
      </tp>
      <tp>
        <v>1.0677980349422838</v>
        <stp/>
        <stp>EM_BK_FA_ALL_INVTURN</stp>
        <stp>3</stp>
        <stp>004002002</stp>
        <stp>2014-12-31</stp>
        <stp>0</stp>
        <tr r="I62" s="5"/>
      </tp>
      <tp>
        <v>1.1945846285781825</v>
        <stp/>
        <stp>EM_BK_FA_ALL_INVTURN</stp>
        <stp>3</stp>
        <stp>004002002</stp>
        <stp>2013-12-31</stp>
        <stp>0</stp>
        <tr r="H62" s="5"/>
      </tp>
      <tp>
        <v>1.3815365134178956</v>
        <stp/>
        <stp>EM_BK_FA_ALL_INVTURN</stp>
        <stp>3</stp>
        <stp>004002002</stp>
        <stp>2012-12-31</stp>
        <stp>0</stp>
        <tr r="G62" s="5"/>
      </tp>
      <tp>
        <v>1.551389321178932</v>
        <stp/>
        <stp>EM_BK_FA_ALL_INVTURN</stp>
        <stp>3</stp>
        <stp>004002002</stp>
        <stp>2011-12-31</stp>
        <stp>0</stp>
        <tr r="F62" s="5"/>
      </tp>
      <tp>
        <v>1.6352482987990833</v>
        <stp/>
        <stp>EM_BK_FA_ALL_INVTURN</stp>
        <stp>3</stp>
        <stp>004002002</stp>
        <stp>2010-12-31</stp>
        <stp>0</stp>
        <tr r="E62" s="5"/>
      </tp>
      <tp>
        <v>9.8420944557815666</v>
        <stp/>
        <stp>EM_BK_FA_ALL_ROE</stp>
        <stp>3</stp>
        <stp>001004</stp>
        <stp>2018-12-31</stp>
        <stp>0</stp>
        <tr r="M63" s="7"/>
      </tp>
      <tp>
        <v>11.018362319157999</v>
        <stp/>
        <stp>EM_BK_FA_ALL_ROE</stp>
        <stp>3</stp>
        <stp>001004</stp>
        <stp>2017-12-31</stp>
        <stp>0</stp>
        <tr r="L63" s="7"/>
      </tp>
      <tp>
        <v>10.538445419023271</v>
        <stp/>
        <stp>EM_BK_FA_ALL_ROE</stp>
        <stp>3</stp>
        <stp>001004</stp>
        <stp>2016-12-31</stp>
        <stp>0</stp>
        <tr r="K63" s="7"/>
      </tp>
      <tp>
        <v>11.46029873549104</v>
        <stp/>
        <stp>EM_BK_FA_ALL_ROE</stp>
        <stp>3</stp>
        <stp>001004</stp>
        <stp>2015-12-31</stp>
        <stp>0</stp>
        <tr r="J63" s="7"/>
      </tp>
      <tp>
        <v>13.099402790907924</v>
        <stp/>
        <stp>EM_BK_FA_ALL_ROE</stp>
        <stp>3</stp>
        <stp>001004</stp>
        <stp>2014-12-31</stp>
        <stp>0</stp>
        <tr r="I63" s="7"/>
      </tp>
      <tp>
        <v>13.883479046690432</v>
        <stp/>
        <stp>EM_BK_FA_ALL_ROE</stp>
        <stp>3</stp>
        <stp>001004</stp>
        <stp>2013-12-31</stp>
        <stp>0</stp>
        <tr r="H63" s="7"/>
      </tp>
      <tp>
        <v>13.640089902343018</v>
        <stp/>
        <stp>EM_BK_FA_ALL_ROE</stp>
        <stp>3</stp>
        <stp>001004</stp>
        <stp>2012-12-31</stp>
        <stp>0</stp>
        <tr r="G63" s="7"/>
      </tp>
      <tp>
        <v>15.388303156571929</v>
        <stp/>
        <stp>EM_BK_FA_ALL_ROE</stp>
        <stp>3</stp>
        <stp>001004</stp>
        <stp>2011-12-31</stp>
        <stp>0</stp>
        <tr r="F63" s="7"/>
      </tp>
      <tp>
        <v>16.482573246428359</v>
        <stp/>
        <stp>EM_BK_FA_ALL_ROE</stp>
        <stp>3</stp>
        <stp>001004</stp>
        <stp>2010-12-31</stp>
        <stp>0</stp>
        <tr r="E63" s="7"/>
      </tp>
      <tp>
        <v>14.644327188227541</v>
        <stp/>
        <stp>EM_BK_FA_ALL_ROE</stp>
        <stp>3</stp>
        <stp>001004</stp>
        <stp>2009-12-31</stp>
        <stp>0</stp>
        <tr r="D63" s="7"/>
      </tp>
      <tp>
        <v>5.0634743759902925</v>
        <stp/>
        <stp>EM_S_FA_FATURN</stp>
        <stp>3</stp>
        <stp>600519.sh</stp>
        <stp>2018-12-31</stp>
        <stp>1</stp>
        <tr r="M99" s="5"/>
      </tp>
      <tp>
        <v>4.3251185832152723</v>
        <stp/>
        <stp>EM_S_FA_FATURN</stp>
        <stp>3</stp>
        <stp>600519.sh</stp>
        <stp>2012-12-31</stp>
        <stp>1</stp>
        <tr r="G99" s="5"/>
      </tp>
      <tp>
        <v>4.0534116214345106</v>
        <stp/>
        <stp>EM_S_FA_FATURN</stp>
        <stp>3</stp>
        <stp>600519.sh</stp>
        <stp>2013-12-31</stp>
        <stp>1</stp>
        <tr r="H99" s="5"/>
      </tp>
      <tp>
        <v>3.1609709121131204</v>
        <stp/>
        <stp>EM_S_FA_FATURN</stp>
        <stp>3</stp>
        <stp>600519.sh</stp>
        <stp>2010-12-31</stp>
        <stp>1</stp>
        <tr r="E99" s="5"/>
      </tp>
      <tp>
        <v>3.8267033589759247</v>
        <stp/>
        <stp>EM_S_FA_FATURN</stp>
        <stp>3</stp>
        <stp>600519.sh</stp>
        <stp>2011-12-31</stp>
        <stp>1</stp>
        <tr r="F99" s="5"/>
      </tp>
      <tp>
        <v>3.1044788469096773</v>
        <stp/>
        <stp>EM_S_FA_FATURN</stp>
        <stp>3</stp>
        <stp>600519.sh</stp>
        <stp>2016-12-31</stp>
        <stp>1</stp>
        <tr r="K99" s="5"/>
      </tp>
      <tp>
        <v>4.1123475992733498</v>
        <stp/>
        <stp>EM_S_FA_FATURN</stp>
        <stp>3</stp>
        <stp>600519.sh</stp>
        <stp>2017-12-31</stp>
        <stp>1</stp>
        <tr r="L99" s="5"/>
      </tp>
      <tp>
        <v>3.4094067017198419</v>
        <stp/>
        <stp>EM_S_FA_FATURN</stp>
        <stp>3</stp>
        <stp>600519.sh</stp>
        <stp>2014-12-31</stp>
        <stp>1</stp>
        <tr r="I99" s="5"/>
      </tp>
      <tp>
        <v>3.0696863688182252</v>
        <stp/>
        <stp>EM_S_FA_FATURN</stp>
        <stp>3</stp>
        <stp>600519.sh</stp>
        <stp>2015-12-31</stp>
        <stp>1</stp>
        <tr r="J99" s="5"/>
      </tp>
      <tp>
        <v>3.6089512234927641</v>
        <stp/>
        <stp>EM_S_FA_FATURN</stp>
        <stp>3</stp>
        <stp>600519.sh</stp>
        <stp>2009-12-31</stp>
        <stp>1</stp>
        <tr r="D99" s="5"/>
      </tp>
      <tp>
        <v>0.260215415984</v>
        <stp/>
        <stp>EM_S_FA_INVTURN</stp>
        <stp>3</stp>
        <stp>600519.sh</stp>
        <stp>2009-12-31</stp>
        <stp>1</stp>
        <tr r="D61" s="5"/>
      </tp>
      <tp>
        <v>0.28631638829400002</v>
        <stp/>
        <stp>EM_S_FA_INVTURN</stp>
        <stp>3</stp>
        <stp>600519.sh</stp>
        <stp>2018-12-31</stp>
        <stp>1</stp>
        <tr r="M61" s="5"/>
      </tp>
      <tp>
        <v>0.153858861565</v>
        <stp/>
        <stp>EM_S_FA_INVTURN</stp>
        <stp>3</stp>
        <stp>600519.sh</stp>
        <stp>2015-12-31</stp>
        <stp>1</stp>
        <tr r="J61" s="5"/>
      </tp>
      <tp>
        <v>0.174393922752</v>
        <stp/>
        <stp>EM_S_FA_INVTURN</stp>
        <stp>3</stp>
        <stp>600519.sh</stp>
        <stp>2014-12-31</stp>
        <stp>1</stp>
        <tr r="I61" s="5"/>
      </tp>
      <tp>
        <v>0.27837270415199999</v>
        <stp/>
        <stp>EM_S_FA_INVTURN</stp>
        <stp>3</stp>
        <stp>600519.sh</stp>
        <stp>2017-12-31</stp>
        <stp>1</stp>
        <tr r="L61" s="5"/>
      </tp>
      <tp>
        <v>0.176526757747</v>
        <stp/>
        <stp>EM_S_FA_INVTURN</stp>
        <stp>3</stp>
        <stp>600519.sh</stp>
        <stp>2016-12-31</stp>
        <stp>1</stp>
        <tr r="K61" s="5"/>
      </tp>
      <tp>
        <v>0.24311642662300001</v>
        <stp/>
        <stp>EM_S_FA_INVTURN</stp>
        <stp>3</stp>
        <stp>600519.sh</stp>
        <stp>2011-12-31</stp>
        <stp>1</stp>
        <tr r="F61" s="5"/>
      </tp>
      <tp>
        <v>0.215623884722</v>
        <stp/>
        <stp>EM_S_FA_INVTURN</stp>
        <stp>3</stp>
        <stp>600519.sh</stp>
        <stp>2010-12-31</stp>
        <stp>1</stp>
        <tr r="E61" s="5"/>
      </tp>
      <tp>
        <v>0.20406152288500001</v>
        <stp/>
        <stp>EM_S_FA_INVTURN</stp>
        <stp>3</stp>
        <stp>600519.sh</stp>
        <stp>2013-12-31</stp>
        <stp>1</stp>
        <tr r="H61" s="5"/>
      </tp>
      <tp>
        <v>0.24260668759699999</v>
        <stp/>
        <stp>EM_S_FA_INVTURN</stp>
        <stp>3</stp>
        <stp>600519.sh</stp>
        <stp>2012-12-31</stp>
        <stp>1</stp>
        <tr r="G61" s="5"/>
      </tp>
      <tp>
        <v>3.064880257595</v>
        <stp/>
        <stp>EM_S_FA_CURRENT</stp>
        <stp>3</stp>
        <stp>600519.sh</stp>
        <stp>2009-12-31</stp>
        <stp>1</stp>
        <tr r="D21" s="2"/>
      </tp>
      <tp>
        <v>3.248532646163</v>
        <stp/>
        <stp>EM_S_FA_CURRENT</stp>
        <stp>3</stp>
        <stp>600519.sh</stp>
        <stp>2018-12-31</stp>
        <stp>1</stp>
        <tr r="M21" s="2"/>
      </tp>
      <tp>
        <v>3.7083677303370002</v>
        <stp/>
        <stp>EM_S_FA_CURRENT</stp>
        <stp>3</stp>
        <stp>600519.sh</stp>
        <stp>2013-12-31</stp>
        <stp>1</stp>
        <tr r="H21" s="2"/>
      </tp>
      <tp>
        <v>3.8025977172530001</v>
        <stp/>
        <stp>EM_S_FA_CURRENT</stp>
        <stp>3</stp>
        <stp>600519.sh</stp>
        <stp>2012-12-31</stp>
        <stp>1</stp>
        <tr r="G21" s="2"/>
      </tp>
      <tp>
        <v>2.9353924646010001</v>
        <stp/>
        <stp>EM_S_FA_CURRENT</stp>
        <stp>3</stp>
        <stp>600519.sh</stp>
        <stp>2011-12-31</stp>
        <stp>1</stp>
        <tr r="F21" s="2"/>
      </tp>
      <tp>
        <v>2.8884085543450002</v>
        <stp/>
        <stp>EM_S_FA_CURRENT</stp>
        <stp>3</stp>
        <stp>600519.sh</stp>
        <stp>2010-12-31</stp>
        <stp>1</stp>
        <tr r="E21" s="2"/>
      </tp>
      <tp>
        <v>2.9099007258479999</v>
        <stp/>
        <stp>EM_S_FA_CURRENT</stp>
        <stp>3</stp>
        <stp>600519.sh</stp>
        <stp>2017-12-31</stp>
        <stp>1</stp>
        <tr r="L21" s="2"/>
      </tp>
      <tp>
        <v>2.435967382022</v>
        <stp/>
        <stp>EM_S_FA_CURRENT</stp>
        <stp>3</stp>
        <stp>600519.sh</stp>
        <stp>2016-12-31</stp>
        <stp>1</stp>
        <tr r="K21" s="2"/>
      </tp>
      <tp>
        <v>3.2418418117379999</v>
        <stp/>
        <stp>EM_S_FA_CURRENT</stp>
        <stp>3</stp>
        <stp>600519.sh</stp>
        <stp>2015-12-31</stp>
        <stp>1</stp>
        <tr r="J21" s="2"/>
      </tp>
      <tp>
        <v>4.5117252630089997</v>
        <stp/>
        <stp>EM_S_FA_CURRENT</stp>
        <stp>3</stp>
        <stp>600519.sh</stp>
        <stp>2014-12-31</stp>
        <stp>1</stp>
        <tr r="I21" s="2"/>
      </tp>
      <tp>
        <v>1.9208281565978012</v>
        <stp/>
        <stp>EM_BK_FA_ALL_QUICK</stp>
        <stp>3</stp>
        <stp>004002002</stp>
        <stp>2018-12-31</stp>
        <stp>0</stp>
        <tr r="M60" s="2"/>
      </tp>
      <tp>
        <v>1.2704296236513777</v>
        <stp/>
        <stp>EM_BK_FA_ALL_QUICK</stp>
        <stp>3</stp>
        <stp>004002002</stp>
        <stp>2012-12-31</stp>
        <stp>0</stp>
        <tr r="G60" s="2"/>
      </tp>
      <tp>
        <v>1.3172368560709351</v>
        <stp/>
        <stp>EM_BK_FA_ALL_QUICK</stp>
        <stp>3</stp>
        <stp>004002002</stp>
        <stp>2013-12-31</stp>
        <stp>0</stp>
        <tr r="H60" s="2"/>
      </tp>
      <tp>
        <v>1.1750340827119419</v>
        <stp/>
        <stp>EM_BK_FA_ALL_QUICK</stp>
        <stp>3</stp>
        <stp>004002002</stp>
        <stp>2010-12-31</stp>
        <stp>0</stp>
        <tr r="E60" s="2"/>
      </tp>
      <tp>
        <v>1.1577443562791008</v>
        <stp/>
        <stp>EM_BK_FA_ALL_QUICK</stp>
        <stp>3</stp>
        <stp>004002002</stp>
        <stp>2011-12-31</stp>
        <stp>0</stp>
        <tr r="F60" s="2"/>
      </tp>
      <tp>
        <v>1.5731504433049563</v>
        <stp/>
        <stp>EM_BK_FA_ALL_QUICK</stp>
        <stp>3</stp>
        <stp>004002002</stp>
        <stp>2016-12-31</stp>
        <stp>0</stp>
        <tr r="K60" s="2"/>
      </tp>
      <tp>
        <v>1.782182749005975</v>
        <stp/>
        <stp>EM_BK_FA_ALL_QUICK</stp>
        <stp>3</stp>
        <stp>004002002</stp>
        <stp>2017-12-31</stp>
        <stp>0</stp>
        <tr r="L60" s="2"/>
      </tp>
      <tp>
        <v>1.4515769699703032</v>
        <stp/>
        <stp>EM_BK_FA_ALL_QUICK</stp>
        <stp>3</stp>
        <stp>004002002</stp>
        <stp>2014-12-31</stp>
        <stp>0</stp>
        <tr r="I60" s="2"/>
      </tp>
      <tp>
        <v>1.5687987182387704</v>
        <stp/>
        <stp>EM_BK_FA_ALL_QUICK</stp>
        <stp>3</stp>
        <stp>004002002</stp>
        <stp>2015-12-31</stp>
        <stp>0</stp>
        <tr r="J60" s="2"/>
      </tp>
      <tp>
        <v>1.1270673843829684</v>
        <stp/>
        <stp>EM_BK_FA_ALL_QUICK</stp>
        <stp>3</stp>
        <stp>004002002</stp>
        <stp>2009-12-31</stp>
        <stp>0</stp>
        <tr r="D60" s="2"/>
      </tp>
      <tp>
        <v>14.10915057973345</v>
        <stp/>
        <stp>EM_BK_FA_ALL_YOYNETPROFIT</stp>
        <stp>3</stp>
        <stp>001004</stp>
        <stp>2013-12-31</stp>
        <stp>0</stp>
        <tr r="H256" s="7"/>
      </tp>
      <tp>
        <v>0.83232736599421975</v>
        <stp/>
        <stp>EM_BK_FA_ALL_YOYNETPROFIT</stp>
        <stp>3</stp>
        <stp>001004</stp>
        <stp>2012-12-31</stp>
        <stp>0</stp>
        <tr r="G256" s="7"/>
      </tp>
      <tp>
        <v>11.776775571201807</v>
        <stp/>
        <stp>EM_BK_FA_ALL_YOYNETPROFIT</stp>
        <stp>3</stp>
        <stp>001004</stp>
        <stp>2011-12-31</stp>
        <stp>0</stp>
        <tr r="F256" s="7"/>
      </tp>
      <tp>
        <v>36.570656535827609</v>
        <stp/>
        <stp>EM_BK_FA_ALL_YOYNETPROFIT</stp>
        <stp>3</stp>
        <stp>001004</stp>
        <stp>2010-12-31</stp>
        <stp>0</stp>
        <tr r="E256" s="7"/>
      </tp>
      <tp>
        <v>18.170344512806501</v>
        <stp/>
        <stp>EM_BK_FA_ALL_YOYNETPROFIT</stp>
        <stp>3</stp>
        <stp>001004</stp>
        <stp>2017-12-31</stp>
        <stp>0</stp>
        <tr r="L256" s="7"/>
      </tp>
      <tp>
        <v>5.2122980130094696</v>
        <stp/>
        <stp>EM_BK_FA_ALL_YOYNETPROFIT</stp>
        <stp>3</stp>
        <stp>001004</stp>
        <stp>2016-12-31</stp>
        <stp>0</stp>
        <tr r="K256" s="7"/>
      </tp>
      <tp>
        <v>1.2944001254129829</v>
        <stp/>
        <stp>EM_BK_FA_ALL_YOYNETPROFIT</stp>
        <stp>3</stp>
        <stp>001004</stp>
        <stp>2015-12-31</stp>
        <stp>0</stp>
        <tr r="J256" s="7"/>
      </tp>
      <tp>
        <v>7.2670093197708843</v>
        <stp/>
        <stp>EM_BK_FA_ALL_YOYNETPROFIT</stp>
        <stp>3</stp>
        <stp>001004</stp>
        <stp>2014-12-31</stp>
        <stp>0</stp>
        <tr r="I256" s="7"/>
      </tp>
      <tp>
        <v>-1.5732559124190251</v>
        <stp/>
        <stp>EM_BK_FA_ALL_YOYNETPROFIT</stp>
        <stp>3</stp>
        <stp>001004</stp>
        <stp>2018-12-31</stp>
        <stp>0</stp>
        <tr r="M256" s="7"/>
      </tp>
      <tp>
        <v>27.802107106206503</v>
        <stp/>
        <stp>EM_BK_FA_ALL_YOYNETPROFIT</stp>
        <stp>3</stp>
        <stp>001004</stp>
        <stp>2009-12-31</stp>
        <stp>0</stp>
        <tr r="D256" s="7"/>
      </tp>
      <tp>
        <v>31.830970762021</v>
        <stp/>
        <stp>EM_S_FA_ARTURN</stp>
        <stp>3</stp>
        <stp>600519.sh</stp>
        <stp>2009-12-31</stp>
        <stp>1</stp>
        <tr r="D23" s="5"/>
      </tp>
      <tp>
        <v>82.487941657453007</v>
        <stp/>
        <stp>EM_S_FA_ARTURN</stp>
        <stp>3</stp>
        <stp>600519.sh</stp>
        <stp>2018-12-31</stp>
        <stp>1</stp>
        <tr r="M23" s="5"/>
      </tp>
      <tp>
        <v>111.10457243445001</v>
        <stp/>
        <stp>EM_S_FA_ARTURN</stp>
        <stp>3</stp>
        <stp>600519.sh</stp>
        <stp>2012-12-31</stp>
        <stp>1</stp>
        <tr r="G23" s="5"/>
      </tp>
      <tp>
        <v>119.180170461934</v>
        <stp/>
        <stp>EM_S_FA_ARTURN</stp>
        <stp>3</stp>
        <stp>600519.sh</stp>
        <stp>2013-12-31</stp>
        <stp>1</stp>
        <tr r="H23" s="5"/>
      </tp>
      <tp>
        <v>38.254023363713998</v>
        <stp/>
        <stp>EM_S_FA_ARTURN</stp>
        <stp>3</stp>
        <stp>600519.sh</stp>
        <stp>2010-12-31</stp>
        <stp>1</stp>
        <tr r="E23" s="5"/>
      </tp>
      <tp>
        <v>79.942029726011995</v>
        <stp/>
        <stp>EM_S_FA_ARTURN</stp>
        <stp>3</stp>
        <stp>600519.sh</stp>
        <stp>2011-12-31</stp>
        <stp>1</stp>
        <tr r="F23" s="5"/>
      </tp>
      <tp>
        <v>8.2713727025419992</v>
        <stp/>
        <stp>EM_S_FA_ARTURN</stp>
        <stp>3</stp>
        <stp>600519.sh</stp>
        <stp>2016-12-31</stp>
        <stp>1</stp>
        <tr r="K23" s="5"/>
      </tp>
      <tp>
        <v>57.094996541171</v>
        <stp/>
        <stp>EM_S_FA_ARTURN</stp>
        <stp>3</stp>
        <stp>600519.sh</stp>
        <stp>2017-12-31</stp>
        <stp>1</stp>
        <tr r="L23" s="5"/>
      </tp>
      <tp>
        <v>29.382630604905</v>
        <stp/>
        <stp>EM_S_FA_ARTURN</stp>
        <stp>3</stp>
        <stp>600519.sh</stp>
        <stp>2014-12-31</stp>
        <stp>1</stp>
        <tr r="I23" s="5"/>
      </tp>
      <tp>
        <v>6.2618368615140003</v>
        <stp/>
        <stp>EM_S_FA_ARTURN</stp>
        <stp>3</stp>
        <stp>600519.sh</stp>
        <stp>2015-12-31</stp>
        <stp>1</stp>
        <tr r="J23" s="5"/>
      </tp>
      <tp t="s">
        <v>2001-08-27</v>
        <stp/>
        <stp>EM_S_IPO_LISTEDDATE</stp>
        <stp>1</stp>
        <stp>600519.sh</stp>
        <tr r="G23" s="1"/>
        <tr r="E9" s="2"/>
        <tr r="E9" s="7"/>
        <tr r="E9" s="5"/>
      </tp>
      <tp>
        <v>18.991688077599999</v>
        <stp/>
        <stp>EM_S_FA_YOY_OR</stp>
        <stp>2</stp>
        <stp>600519.sh</stp>
        <stp>2016-12-31</stp>
        <tr r="K292" s="7"/>
      </tp>
      <tp>
        <v>49.805920158900001</v>
        <stp/>
        <stp>EM_S_FA_YOY_OR</stp>
        <stp>2</stp>
        <stp>600519.sh</stp>
        <stp>2017-12-31</stp>
        <tr r="L292" s="7"/>
      </tp>
      <tp>
        <v>51.371804768399997</v>
        <stp/>
        <stp>EM_S_FA_NETPROFITMARGIN</stp>
        <stp>3</stp>
        <stp>600519.sh</stp>
        <stp>2018-12-31</stp>
        <stp>1</stp>
        <tr r="M99" s="7"/>
      </tp>
      <tp>
        <v>52.951325776700003</v>
        <stp/>
        <stp>EM_S_FA_NETPROFITMARGIN</stp>
        <stp>3</stp>
        <stp>600519.sh</stp>
        <stp>2012-12-31</stp>
        <stp>1</stp>
        <tr r="G99" s="7"/>
      </tp>
      <tp>
        <v>51.629915468299998</v>
        <stp/>
        <stp>EM_S_FA_NETPROFITMARGIN</stp>
        <stp>3</stp>
        <stp>600519.sh</stp>
        <stp>2013-12-31</stp>
        <stp>1</stp>
        <tr r="H99" s="7"/>
      </tp>
      <tp>
        <v>45.900724302999997</v>
        <stp/>
        <stp>EM_S_FA_NETPROFITMARGIN</stp>
        <stp>3</stp>
        <stp>600519.sh</stp>
        <stp>2010-12-31</stp>
        <stp>1</stp>
        <tr r="E99" s="7"/>
      </tp>
      <tp>
        <v>50.267064750199999</v>
        <stp/>
        <stp>EM_S_FA_NETPROFITMARGIN</stp>
        <stp>3</stp>
        <stp>600519.sh</stp>
        <stp>2011-12-31</stp>
        <stp>1</stp>
        <tr r="F99" s="7"/>
      </tp>
      <tp>
        <v>46.139044435499997</v>
        <stp/>
        <stp>EM_S_FA_NETPROFITMARGIN</stp>
        <stp>3</stp>
        <stp>600519.sh</stp>
        <stp>2016-12-31</stp>
        <stp>1</stp>
        <tr r="K99" s="7"/>
      </tp>
      <tp>
        <v>49.823924447300001</v>
        <stp/>
        <stp>EM_S_FA_NETPROFITMARGIN</stp>
        <stp>3</stp>
        <stp>600519.sh</stp>
        <stp>2017-12-31</stp>
        <stp>1</stp>
        <tr r="L99" s="7"/>
      </tp>
      <tp>
        <v>51.527865763999998</v>
        <stp/>
        <stp>EM_S_FA_NETPROFITMARGIN</stp>
        <stp>3</stp>
        <stp>600519.sh</stp>
        <stp>2014-12-31</stp>
        <stp>1</stp>
        <tr r="I99" s="7"/>
      </tp>
      <tp>
        <v>50.383363008000003</v>
        <stp/>
        <stp>EM_S_FA_NETPROFITMARGIN</stp>
        <stp>3</stp>
        <stp>600519.sh</stp>
        <stp>2015-12-31</stp>
        <stp>1</stp>
        <tr r="J99" s="7"/>
      </tp>
      <tp>
        <v>47.082620310599999</v>
        <stp/>
        <stp>EM_S_FA_NETPROFITMARGIN</stp>
        <stp>3</stp>
        <stp>600519.sh</stp>
        <stp>2009-12-31</stp>
        <stp>1</stp>
        <tr r="D99" s="7"/>
      </tp>
      <tp>
        <v>0.71334805797865408</v>
        <stp/>
        <stp>EM_BK_FA_ALL_QUICK</stp>
        <stp>3</stp>
        <stp>001004</stp>
        <stp>2009-12-31</stp>
        <stp>0</stp>
        <tr r="D61" s="2"/>
      </tp>
      <tp>
        <v>0.74553115622325594</v>
        <stp/>
        <stp>EM_BK_FA_ALL_QUICK</stp>
        <stp>3</stp>
        <stp>001004</stp>
        <stp>2015-12-31</stp>
        <stp>0</stp>
        <tr r="J61" s="2"/>
      </tp>
      <tp>
        <v>0.70320593699336786</v>
        <stp/>
        <stp>EM_BK_FA_ALL_QUICK</stp>
        <stp>3</stp>
        <stp>001004</stp>
        <stp>2014-12-31</stp>
        <stp>0</stp>
        <tr r="I61" s="2"/>
      </tp>
      <tp>
        <v>0.80110835681680159</v>
        <stp/>
        <stp>EM_BK_FA_ALL_QUICK</stp>
        <stp>3</stp>
        <stp>001004</stp>
        <stp>2017-12-31</stp>
        <stp>0</stp>
        <tr r="L61" s="2"/>
      </tp>
      <tp>
        <v>0.80076578546819632</v>
        <stp/>
        <stp>EM_BK_FA_ALL_QUICK</stp>
        <stp>3</stp>
        <stp>001004</stp>
        <stp>2016-12-31</stp>
        <stp>0</stp>
        <tr r="K61" s="2"/>
      </tp>
      <tp>
        <v>0.73036134083023085</v>
        <stp/>
        <stp>EM_BK_FA_ALL_QUICK</stp>
        <stp>3</stp>
        <stp>001004</stp>
        <stp>2011-12-31</stp>
        <stp>0</stp>
        <tr r="F61" s="2"/>
      </tp>
      <tp>
        <v>0.7407533941231933</v>
        <stp/>
        <stp>EM_BK_FA_ALL_QUICK</stp>
        <stp>3</stp>
        <stp>001004</stp>
        <stp>2010-12-31</stp>
        <stp>0</stp>
        <tr r="E61" s="2"/>
      </tp>
      <tp>
        <v>0.68426765965325553</v>
        <stp/>
        <stp>EM_BK_FA_ALL_QUICK</stp>
        <stp>3</stp>
        <stp>001004</stp>
        <stp>2013-12-31</stp>
        <stp>0</stp>
        <tr r="H61" s="2"/>
      </tp>
      <tp>
        <v>0.70022494861361928</v>
        <stp/>
        <stp>EM_BK_FA_ALL_QUICK</stp>
        <stp>3</stp>
        <stp>001004</stp>
        <stp>2012-12-31</stp>
        <stp>0</stp>
        <tr r="G61" s="2"/>
      </tp>
      <tp>
        <v>0.7926054481339605</v>
        <stp/>
        <stp>EM_BK_FA_ALL_QUICK</stp>
        <stp>3</stp>
        <stp>001004</stp>
        <stp>2018-12-31</stp>
        <stp>0</stp>
        <tr r="M61" s="2"/>
      </tp>
      <tp>
        <v>2.1089560976000001</v>
        <stp/>
        <stp>EM_S_FA_YOY_OR</stp>
        <stp>2</stp>
        <stp>600519.sh</stp>
        <stp>2014-12-31</stp>
        <tr r="I292" s="7"/>
      </tp>
      <tp>
        <v>43.004549258927099</v>
        <stp/>
        <stp>EM_BK_FA_ALL_ARTURN</stp>
        <stp>3</stp>
        <stp>004002002</stp>
        <stp>2009-12-31</stp>
        <stp>0</stp>
        <tr r="D24" s="5"/>
      </tp>
      <tp>
        <v>74.842159081193856</v>
        <stp/>
        <stp>EM_BK_FA_ALL_ARTURN</stp>
        <stp>3</stp>
        <stp>004002002</stp>
        <stp>2018-12-31</stp>
        <stp>0</stp>
        <tr r="M24" s="5"/>
      </tp>
      <tp>
        <v>50.290525410280544</v>
        <stp/>
        <stp>EM_BK_FA_ALL_ARTURN</stp>
        <stp>3</stp>
        <stp>004002002</stp>
        <stp>2010-12-31</stp>
        <stp>0</stp>
        <tr r="E24" s="5"/>
      </tp>
      <tp>
        <v>64.924426186436364</v>
        <stp/>
        <stp>EM_BK_FA_ALL_ARTURN</stp>
        <stp>3</stp>
        <stp>004002002</stp>
        <stp>2011-12-31</stp>
        <stp>0</stp>
        <tr r="F24" s="5"/>
      </tp>
      <tp>
        <v>69.355489367346664</v>
        <stp/>
        <stp>EM_BK_FA_ALL_ARTURN</stp>
        <stp>3</stp>
        <stp>004002002</stp>
        <stp>2012-12-31</stp>
        <stp>0</stp>
        <tr r="G24" s="5"/>
      </tp>
      <tp>
        <v>65.913412319046358</v>
        <stp/>
        <stp>EM_BK_FA_ALL_ARTURN</stp>
        <stp>3</stp>
        <stp>004002002</stp>
        <stp>2013-12-31</stp>
        <stp>0</stp>
        <tr r="H24" s="5"/>
      </tp>
      <tp>
        <v>67.860989126220019</v>
        <stp/>
        <stp>EM_BK_FA_ALL_ARTURN</stp>
        <stp>3</stp>
        <stp>004002002</stp>
        <stp>2014-12-31</stp>
        <stp>0</stp>
        <tr r="I24" s="5"/>
      </tp>
      <tp>
        <v>73.158301746885698</v>
        <stp/>
        <stp>EM_BK_FA_ALL_ARTURN</stp>
        <stp>3</stp>
        <stp>004002002</stp>
        <stp>2015-12-31</stp>
        <stp>0</stp>
        <tr r="J24" s="5"/>
      </tp>
      <tp>
        <v>65.734663732409373</v>
        <stp/>
        <stp>EM_BK_FA_ALL_ARTURN</stp>
        <stp>3</stp>
        <stp>004002002</stp>
        <stp>2016-12-31</stp>
        <stp>0</stp>
        <tr r="K24" s="5"/>
      </tp>
      <tp>
        <v>72.429290751880586</v>
        <stp/>
        <stp>EM_BK_FA_ALL_ARTURN</stp>
        <stp>3</stp>
        <stp>004002002</stp>
        <stp>2017-12-31</stp>
        <stp>0</stp>
        <tr r="L24" s="5"/>
      </tp>
      <tp>
        <v>5.6265886108084411</v>
        <stp/>
        <stp>EM_BK_FA_ALL_DEBTTOEQUITY</stp>
        <stp>3</stp>
        <stp>001004</stp>
        <stp>2018-12-31</stp>
        <stp>0</stp>
        <tr r="M103" s="2"/>
      </tp>
      <tp>
        <v>6.0182427935628215</v>
        <stp/>
        <stp>EM_BK_FA_ALL_DEBTTOEQUITY</stp>
        <stp>3</stp>
        <stp>001004</stp>
        <stp>2015-12-31</stp>
        <stp>0</stp>
        <tr r="J103" s="2"/>
      </tp>
      <tp>
        <v>6.266279250784847</v>
        <stp/>
        <stp>EM_BK_FA_ALL_DEBTTOEQUITY</stp>
        <stp>3</stp>
        <stp>001004</stp>
        <stp>2014-12-31</stp>
        <stp>0</stp>
        <tr r="I103" s="2"/>
      </tp>
      <tp>
        <v>5.7162029328785122</v>
        <stp/>
        <stp>EM_BK_FA_ALL_DEBTTOEQUITY</stp>
        <stp>3</stp>
        <stp>001004</stp>
        <stp>2017-12-31</stp>
        <stp>0</stp>
        <tr r="L103" s="2"/>
      </tp>
      <tp>
        <v>5.9644816388186896</v>
        <stp/>
        <stp>EM_BK_FA_ALL_DEBTTOEQUITY</stp>
        <stp>3</stp>
        <stp>001004</stp>
        <stp>2016-12-31</stp>
        <stp>0</stp>
        <tr r="K103" s="2"/>
      </tp>
      <tp>
        <v>6.4687141896013909</v>
        <stp/>
        <stp>EM_BK_FA_ALL_DEBTTOEQUITY</stp>
        <stp>3</stp>
        <stp>001004</stp>
        <stp>2011-12-31</stp>
        <stp>0</stp>
        <tr r="F103" s="2"/>
      </tp>
      <tp>
        <v>6.4800230678547051</v>
        <stp/>
        <stp>EM_BK_FA_ALL_DEBTTOEQUITY</stp>
        <stp>3</stp>
        <stp>001004</stp>
        <stp>2010-12-31</stp>
        <stp>0</stp>
        <tr r="E103" s="2"/>
      </tp>
      <tp>
        <v>6.5054879530154333</v>
        <stp/>
        <stp>EM_BK_FA_ALL_DEBTTOEQUITY</stp>
        <stp>3</stp>
        <stp>001004</stp>
        <stp>2013-12-31</stp>
        <stp>0</stp>
        <tr r="H103" s="2"/>
      </tp>
      <tp>
        <v>6.5317935876276172</v>
        <stp/>
        <stp>EM_BK_FA_ALL_DEBTTOEQUITY</stp>
        <stp>3</stp>
        <stp>001004</stp>
        <stp>2012-12-31</stp>
        <stp>0</stp>
        <tr r="G103" s="2"/>
      </tp>
      <tp>
        <v>6.8814904900428049</v>
        <stp/>
        <stp>EM_BK_FA_ALL_DEBTTOEQUITY</stp>
        <stp>3</stp>
        <stp>001004</stp>
        <stp>2009-12-31</stp>
        <stp>0</stp>
        <tr r="D103" s="2"/>
      </tp>
      <tp>
        <v>3.4384545885</v>
        <stp/>
        <stp>EM_S_FA_YOY_OR</stp>
        <stp>2</stp>
        <stp>600519.sh</stp>
        <stp>2015-12-31</stp>
        <tr r="J292" s="7"/>
      </tp>
      <tp>
        <v>43.760593983600003</v>
        <stp/>
        <stp>EM_S_FA_YOY_OR</stp>
        <stp>2</stp>
        <stp>600519.sh</stp>
        <stp>2012-12-31</stp>
        <tr r="G292" s="7"/>
      </tp>
      <tp>
        <v>16.883045093900002</v>
        <stp/>
        <stp>EM_S_FA_YOY_OR</stp>
        <stp>2</stp>
        <stp>600519.sh</stp>
        <stp>2013-12-31</stp>
        <tr r="H292" s="7"/>
      </tp>
      <tp>
        <v>3.4623594733272642</v>
        <stp/>
        <stp>EM_BK_FA_ALL_FATURN</stp>
        <stp>3</stp>
        <stp>004002002</stp>
        <stp>2018-12-31</stp>
        <stp>0</stp>
        <tr r="M100" s="5"/>
      </tp>
      <tp>
        <v>2.7319127191605577</v>
        <stp/>
        <stp>EM_BK_FA_ALL_FATURN</stp>
        <stp>3</stp>
        <stp>004002002</stp>
        <stp>2010-12-31</stp>
        <stp>0</stp>
        <tr r="E100" s="5"/>
      </tp>
      <tp>
        <v>3.1640555862081117</v>
        <stp/>
        <stp>EM_BK_FA_ALL_FATURN</stp>
        <stp>3</stp>
        <stp>004002002</stp>
        <stp>2011-12-31</stp>
        <stp>0</stp>
        <tr r="F100" s="5"/>
      </tp>
      <tp>
        <v>3.4542253169316495</v>
        <stp/>
        <stp>EM_BK_FA_ALL_FATURN</stp>
        <stp>3</stp>
        <stp>004002002</stp>
        <stp>2012-12-31</stp>
        <stp>0</stp>
        <tr r="G100" s="5"/>
      </tp>
      <tp>
        <v>3.0823682878833831</v>
        <stp/>
        <stp>EM_BK_FA_ALL_FATURN</stp>
        <stp>3</stp>
        <stp>004002002</stp>
        <stp>2013-12-31</stp>
        <stp>0</stp>
        <tr r="H100" s="5"/>
      </tp>
      <tp>
        <v>2.7546307764050049</v>
        <stp/>
        <stp>EM_BK_FA_ALL_FATURN</stp>
        <stp>3</stp>
        <stp>004002002</stp>
        <stp>2014-12-31</stp>
        <stp>0</stp>
        <tr r="I100" s="5"/>
      </tp>
      <tp>
        <v>2.635659404942293</v>
        <stp/>
        <stp>EM_BK_FA_ALL_FATURN</stp>
        <stp>3</stp>
        <stp>004002002</stp>
        <stp>2015-12-31</stp>
        <stp>0</stp>
        <tr r="J100" s="5"/>
      </tp>
      <tp>
        <v>2.5891249304052555</v>
        <stp/>
        <stp>EM_BK_FA_ALL_FATURN</stp>
        <stp>3</stp>
        <stp>004002002</stp>
        <stp>2016-12-31</stp>
        <stp>0</stp>
        <tr r="K100" s="5"/>
      </tp>
      <tp>
        <v>2.8679975852477906</v>
        <stp/>
        <stp>EM_BK_FA_ALL_FATURN</stp>
        <stp>3</stp>
        <stp>004002002</stp>
        <stp>2017-12-31</stp>
        <stp>0</stp>
        <tr r="L100" s="5"/>
      </tp>
      <tp>
        <v>2.5165699242825301</v>
        <stp/>
        <stp>EM_BK_FA_ALL_FATURN</stp>
        <stp>3</stp>
        <stp>004002002</stp>
        <stp>2009-12-31</stp>
        <stp>0</stp>
        <tr r="D100" s="5"/>
      </tp>
      <tp>
        <v>20.302842446100001</v>
        <stp/>
        <stp>EM_S_FA_YOY_OR</stp>
        <stp>2</stp>
        <stp>600519.sh</stp>
        <stp>2010-12-31</stp>
        <tr r="E292" s="7"/>
      </tp>
      <tp>
        <v>58.187108801800001</v>
        <stp/>
        <stp>EM_S_FA_YOY_OR</stp>
        <stp>2</stp>
        <stp>600519.sh</stp>
        <stp>2011-12-31</stp>
        <tr r="F292" s="7"/>
      </tp>
      <tp>
        <v>2.6803069675818731</v>
        <stp/>
        <stp>EM_BK_FA_ALL_YOY_OR</stp>
        <stp>3</stp>
        <stp>004002002</stp>
        <stp>2015-12-31</stp>
        <stp>0</stp>
        <tr r="J293" s="7"/>
      </tp>
      <tp>
        <v>-5.9356011104188342</v>
        <stp/>
        <stp>EM_BK_FA_ALL_YOY_OR</stp>
        <stp>3</stp>
        <stp>004002002</stp>
        <stp>2014-12-31</stp>
        <stp>0</stp>
        <tr r="I293" s="7"/>
      </tp>
      <tp>
        <v>17.0236716419484</v>
        <stp/>
        <stp>EM_BK_FA_ALL_YOY_OR</stp>
        <stp>3</stp>
        <stp>004002002</stp>
        <stp>2017-12-31</stp>
        <stp>0</stp>
        <tr r="L293" s="7"/>
      </tp>
      <tp>
        <v>6.6889306066581167</v>
        <stp/>
        <stp>EM_BK_FA_ALL_YOY_OR</stp>
        <stp>3</stp>
        <stp>004002002</stp>
        <stp>2016-12-31</stp>
        <stp>0</stp>
        <tr r="K293" s="7"/>
      </tp>
      <tp>
        <v>29.221485716977064</v>
        <stp/>
        <stp>EM_BK_FA_ALL_YOY_OR</stp>
        <stp>3</stp>
        <stp>004002002</stp>
        <stp>2011-12-31</stp>
        <stp>0</stp>
        <tr r="F293" s="7"/>
      </tp>
      <tp>
        <v>22.62502826868565</v>
        <stp/>
        <stp>EM_BK_FA_ALL_YOY_OR</stp>
        <stp>3</stp>
        <stp>004002002</stp>
        <stp>2010-12-31</stp>
        <stp>0</stp>
        <tr r="E293" s="7"/>
      </tp>
      <tp>
        <v>-0.80803847070162838</v>
        <stp/>
        <stp>EM_BK_FA_ALL_YOY_OR</stp>
        <stp>3</stp>
        <stp>004002002</stp>
        <stp>2013-12-31</stp>
        <stp>0</stp>
        <tr r="H293" s="7"/>
      </tp>
      <tp>
        <v>22.05090445197709</v>
        <stp/>
        <stp>EM_BK_FA_ALL_YOY_OR</stp>
        <stp>3</stp>
        <stp>004002002</stp>
        <stp>2012-12-31</stp>
        <stp>0</stp>
        <tr r="G293" s="7"/>
      </tp>
      <tp>
        <v>17.474568598154104</v>
        <stp/>
        <stp>EM_BK_FA_ALL_YOY_OR</stp>
        <stp>3</stp>
        <stp>004002002</stp>
        <stp>2018-12-31</stp>
        <stp>0</stp>
        <tr r="M293" s="7"/>
      </tp>
      <tp>
        <v>10.074422647069857</v>
        <stp/>
        <stp>EM_BK_FA_ALL_YOY_OR</stp>
        <stp>3</stp>
        <stp>004002002</stp>
        <stp>2009-12-31</stp>
        <stp>0</stp>
        <tr r="D293" s="7"/>
      </tp>
      <tp>
        <v>9.0498760590217113</v>
        <stp/>
        <stp>EM_BK_FA_ALL_LONGDEBTODEBT</stp>
        <stp>3</stp>
        <stp>004002002</stp>
        <stp>2009-12-31</stp>
        <stp>0</stp>
        <tr r="D219" s="2"/>
      </tp>
      <tp>
        <v>8.6036325787637224</v>
        <stp/>
        <stp>EM_BK_FA_ALL_LONGDEBTODEBT</stp>
        <stp>3</stp>
        <stp>004002002</stp>
        <stp>2011-12-31</stp>
        <stp>0</stp>
        <tr r="F219" s="2"/>
      </tp>
      <tp>
        <v>9.2690274224582918</v>
        <stp/>
        <stp>EM_BK_FA_ALL_LONGDEBTODEBT</stp>
        <stp>3</stp>
        <stp>004002002</stp>
        <stp>2010-12-31</stp>
        <stp>0</stp>
        <tr r="E219" s="2"/>
      </tp>
      <tp>
        <v>7.8852419885657623</v>
        <stp/>
        <stp>EM_BK_FA_ALL_LONGDEBTODEBT</stp>
        <stp>3</stp>
        <stp>004002002</stp>
        <stp>2013-12-31</stp>
        <stp>0</stp>
        <tr r="H219" s="2"/>
      </tp>
      <tp>
        <v>9.5583234155242192</v>
        <stp/>
        <stp>EM_BK_FA_ALL_LONGDEBTODEBT</stp>
        <stp>3</stp>
        <stp>004002002</stp>
        <stp>2012-12-31</stp>
        <stp>0</stp>
        <tr r="G219" s="2"/>
      </tp>
      <tp>
        <v>10.542898822388343</v>
        <stp/>
        <stp>EM_BK_FA_ALL_LONGDEBTODEBT</stp>
        <stp>3</stp>
        <stp>004002002</stp>
        <stp>2015-12-31</stp>
        <stp>0</stp>
        <tr r="J219" s="2"/>
      </tp>
      <tp>
        <v>11.011781839758211</v>
        <stp/>
        <stp>EM_BK_FA_ALL_LONGDEBTODEBT</stp>
        <stp>3</stp>
        <stp>004002002</stp>
        <stp>2014-12-31</stp>
        <stp>0</stp>
        <tr r="I219" s="2"/>
      </tp>
      <tp>
        <v>7.7125899792078512</v>
        <stp/>
        <stp>EM_BK_FA_ALL_LONGDEBTODEBT</stp>
        <stp>3</stp>
        <stp>004002002</stp>
        <stp>2017-12-31</stp>
        <stp>0</stp>
        <tr r="L219" s="2"/>
      </tp>
      <tp>
        <v>8.7382591471383133</v>
        <stp/>
        <stp>EM_BK_FA_ALL_LONGDEBTODEBT</stp>
        <stp>3</stp>
        <stp>004002002</stp>
        <stp>2016-12-31</stp>
        <stp>0</stp>
        <tr r="K219" s="2"/>
      </tp>
      <tp>
        <v>9.7182482987085255</v>
        <stp/>
        <stp>EM_BK_FA_ALL_LONGDEBTODEBT</stp>
        <stp>3</stp>
        <stp>004002002</stp>
        <stp>2018-12-31</stp>
        <stp>0</stp>
        <tr r="M219" s="2"/>
      </tp>
      <tp>
        <v>85.666697174424073</v>
        <stp/>
        <stp>EM_BK_FA_ALL_DEBTTOASSETS</stp>
        <stp>3</stp>
        <stp>001004</stp>
        <stp>2011-12-31</stp>
        <stp>0</stp>
        <tr r="F142" s="2"/>
      </tp>
      <tp>
        <v>85.720163479353175</v>
        <stp/>
        <stp>EM_BK_FA_ALL_DEBTTOASSETS</stp>
        <stp>3</stp>
        <stp>001004</stp>
        <stp>2010-12-31</stp>
        <stp>0</stp>
        <tr r="E142" s="2"/>
      </tp>
      <tp>
        <v>85.701601886956965</v>
        <stp/>
        <stp>EM_BK_FA_ALL_DEBTTOASSETS</stp>
        <stp>3</stp>
        <stp>001004</stp>
        <stp>2013-12-31</stp>
        <stp>0</stp>
        <tr r="H142" s="2"/>
      </tp>
      <tp>
        <v>85.767704936256763</v>
        <stp/>
        <stp>EM_BK_FA_ALL_DEBTTOASSETS</stp>
        <stp>3</stp>
        <stp>001004</stp>
        <stp>2012-12-31</stp>
        <stp>0</stp>
        <tr r="G142" s="2"/>
      </tp>
      <tp>
        <v>84.730595215814049</v>
        <stp/>
        <stp>EM_BK_FA_ALL_DEBTTOASSETS</stp>
        <stp>3</stp>
        <stp>001004</stp>
        <stp>2015-12-31</stp>
        <stp>0</stp>
        <tr r="J142" s="2"/>
      </tp>
      <tp>
        <v>85.262939815208995</v>
        <stp/>
        <stp>EM_BK_FA_ALL_DEBTTOASSETS</stp>
        <stp>3</stp>
        <stp>001004</stp>
        <stp>2014-12-31</stp>
        <stp>0</stp>
        <tr r="I142" s="2"/>
      </tp>
      <tp>
        <v>83.925361178796337</v>
        <stp/>
        <stp>EM_BK_FA_ALL_DEBTTOASSETS</stp>
        <stp>3</stp>
        <stp>001004</stp>
        <stp>2017-12-31</stp>
        <stp>0</stp>
        <tr r="L142" s="2"/>
      </tp>
      <tp>
        <v>84.539229740678948</v>
        <stp/>
        <stp>EM_BK_FA_ALL_DEBTTOASSETS</stp>
        <stp>3</stp>
        <stp>001004</stp>
        <stp>2016-12-31</stp>
        <stp>0</stp>
        <tr r="K142" s="2"/>
      </tp>
      <tp>
        <v>83.604367379735734</v>
        <stp/>
        <stp>EM_BK_FA_ALL_DEBTTOASSETS</stp>
        <stp>3</stp>
        <stp>001004</stp>
        <stp>2018-12-31</stp>
        <stp>0</stp>
        <tr r="M142" s="2"/>
      </tp>
      <tp>
        <v>86.388906899448386</v>
        <stp/>
        <stp>EM_BK_FA_ALL_DEBTTOASSETS</stp>
        <stp>3</stp>
        <stp>001004</stp>
        <stp>2009-12-31</stp>
        <stp>0</stp>
        <tr r="D142" s="2"/>
      </tp>
      <tp>
        <v>27.95048661498614</v>
        <stp/>
        <stp>EM_BK_FA_ALL_LONGDEBTODEBT</stp>
        <stp>3</stp>
        <stp>001004</stp>
        <stp>2018-12-31</stp>
        <stp>0</stp>
        <tr r="M220" s="2"/>
      </tp>
      <tp>
        <v>30.325388673073348</v>
        <stp/>
        <stp>EM_BK_FA_ALL_LONGDEBTODEBT</stp>
        <stp>3</stp>
        <stp>001004</stp>
        <stp>2015-12-31</stp>
        <stp>0</stp>
        <tr r="J220" s="2"/>
      </tp>
      <tp>
        <v>29.597340471078365</v>
        <stp/>
        <stp>EM_BK_FA_ALL_LONGDEBTODEBT</stp>
        <stp>3</stp>
        <stp>001004</stp>
        <stp>2014-12-31</stp>
        <stp>0</stp>
        <tr r="I220" s="2"/>
      </tp>
      <tp>
        <v>28.55096823272752</v>
        <stp/>
        <stp>EM_BK_FA_ALL_LONGDEBTODEBT</stp>
        <stp>3</stp>
        <stp>001004</stp>
        <stp>2017-12-31</stp>
        <stp>0</stp>
        <tr r="L220" s="2"/>
      </tp>
      <tp>
        <v>30.161148412513761</v>
        <stp/>
        <stp>EM_BK_FA_ALL_LONGDEBTODEBT</stp>
        <stp>3</stp>
        <stp>001004</stp>
        <stp>2016-12-31</stp>
        <stp>0</stp>
        <tr r="K220" s="2"/>
      </tp>
      <tp>
        <v>28.433486436479122</v>
        <stp/>
        <stp>EM_BK_FA_ALL_LONGDEBTODEBT</stp>
        <stp>3</stp>
        <stp>001004</stp>
        <stp>2011-12-31</stp>
        <stp>0</stp>
        <tr r="F220" s="2"/>
      </tp>
      <tp>
        <v>29.640429768349197</v>
        <stp/>
        <stp>EM_BK_FA_ALL_LONGDEBTODEBT</stp>
        <stp>3</stp>
        <stp>001004</stp>
        <stp>2010-12-31</stp>
        <stp>0</stp>
        <tr r="E220" s="2"/>
      </tp>
      <tp>
        <v>29.088675082522965</v>
        <stp/>
        <stp>EM_BK_FA_ALL_LONGDEBTODEBT</stp>
        <stp>3</stp>
        <stp>001004</stp>
        <stp>2013-12-31</stp>
        <stp>0</stp>
        <tr r="H220" s="2"/>
      </tp>
      <tp>
        <v>29.394808877640632</v>
        <stp/>
        <stp>EM_BK_FA_ALL_LONGDEBTODEBT</stp>
        <stp>3</stp>
        <stp>001004</stp>
        <stp>2012-12-31</stp>
        <stp>0</stp>
        <tr r="G220" s="2"/>
      </tp>
      <tp>
        <v>30.097612472001309</v>
        <stp/>
        <stp>EM_BK_FA_ALL_LONGDEBTODEBT</stp>
        <stp>3</stp>
        <stp>001004</stp>
        <stp>2009-12-31</stp>
        <stp>0</stp>
        <tr r="D220" s="2"/>
      </tp>
      <tp>
        <v>26.488453415799999</v>
        <stp/>
        <stp>EM_S_FA_YOY_OR</stp>
        <stp>2</stp>
        <stp>600519.sh</stp>
        <stp>2018-12-31</stp>
        <tr r="M292" s="7"/>
      </tp>
    </main>
    <main first="em.rtq">
      <tp>
        <v>1175.8</v>
        <stp/>
        <stp>600519.sh</stp>
        <stp>Now</stp>
        <tr r="J23" s="1"/>
      </tp>
    </main>
    <main first="em.rtf">
      <tp>
        <v>17.3303566385</v>
        <stp/>
        <stp>EM_S_FA_YOY_OR</stp>
        <stp>2</stp>
        <stp>600519.sh</stp>
        <stp>2009-12-31</stp>
        <tr r="D292" s="7"/>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altLang="en-US" sz="1080" b="0" i="0" u="none" strike="noStrike" kern="1200" baseline="0">
                <a:solidFill>
                  <a:schemeClr val="tx1">
                    <a:lumMod val="65000"/>
                    <a:lumOff val="35000"/>
                  </a:schemeClr>
                </a:solidFill>
                <a:latin typeface="+mn-lt"/>
                <a:ea typeface="+mn-ea"/>
                <a:cs typeface="+mn-cs"/>
              </a:defRPr>
            </a:pPr>
            <a:r>
              <a:rPr lang="zh-CN"/>
              <a:t>产权比率</a:t>
            </a:r>
          </a:p>
        </c:rich>
      </c:tx>
      <c:overlay val="0"/>
      <c:spPr>
        <a:noFill/>
        <a:ln>
          <a:noFill/>
        </a:ln>
        <a:effectLst/>
      </c:spPr>
    </c:title>
    <c:autoTitleDeleted val="0"/>
    <c:plotArea>
      <c:layout/>
      <c:lineChart>
        <c:grouping val="standard"/>
        <c:varyColors val="0"/>
        <c:ser>
          <c:idx val="0"/>
          <c:order val="0"/>
          <c:tx>
            <c:strRef>
              <c:f>偿债能力!$C$101</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anchor="ctr" anchorCtr="1"/>
              <a:lstStyle/>
              <a:p>
                <a:pPr>
                  <a:defRPr lang="zh-CN" altLang="en-US" sz="900" b="0"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偿债能力!$D$101:$M$101</c:f>
              <c:numCache>
                <c:formatCode>0.00_ </c:formatCode>
                <c:ptCount val="10"/>
                <c:pt idx="0">
                  <c:v>0.35379951774599999</c:v>
                </c:pt>
                <c:pt idx="1">
                  <c:v>0.38253582672500003</c:v>
                </c:pt>
                <c:pt idx="2">
                  <c:v>0.38003365087699997</c:v>
                </c:pt>
                <c:pt idx="3">
                  <c:v>0.27948079713000001</c:v>
                </c:pt>
                <c:pt idx="4">
                  <c:v>0.265707871082</c:v>
                </c:pt>
                <c:pt idx="5">
                  <c:v>0.19767050031399999</c:v>
                </c:pt>
                <c:pt idx="6">
                  <c:v>0.31391452257000002</c:v>
                </c:pt>
                <c:pt idx="7">
                  <c:v>0.508079202964</c:v>
                </c:pt>
                <c:pt idx="8">
                  <c:v>0.42197754839099999</c:v>
                </c:pt>
                <c:pt idx="9">
                  <c:v>0.37609647964499998</c:v>
                </c:pt>
              </c:numCache>
            </c:numRef>
          </c:val>
          <c:smooth val="0"/>
          <c:extLst>
            <c:ext xmlns:c16="http://schemas.microsoft.com/office/drawing/2014/chart" uri="{C3380CC4-5D6E-409C-BE32-E72D297353CC}">
              <c16:uniqueId val="{00000000-386D-4A26-B414-DDB6F3DE1C39}"/>
            </c:ext>
          </c:extLst>
        </c:ser>
        <c:ser>
          <c:idx val="1"/>
          <c:order val="1"/>
          <c:tx>
            <c:strRef>
              <c:f>偿债能力!$C$102</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偿债能力!$D$102:$M$102</c:f>
              <c:numCache>
                <c:formatCode>0.00_ </c:formatCode>
                <c:ptCount val="10"/>
                <c:pt idx="0">
                  <c:v>0.60898413620648817</c:v>
                </c:pt>
                <c:pt idx="1">
                  <c:v>0.67164365920065849</c:v>
                </c:pt>
                <c:pt idx="2">
                  <c:v>0.71827037653940362</c:v>
                </c:pt>
                <c:pt idx="3">
                  <c:v>0.62936431670878479</c:v>
                </c:pt>
                <c:pt idx="4">
                  <c:v>0.5271658350763947</c:v>
                </c:pt>
                <c:pt idx="5">
                  <c:v>0.4400151595852258</c:v>
                </c:pt>
                <c:pt idx="6">
                  <c:v>0.45201511595730171</c:v>
                </c:pt>
                <c:pt idx="7">
                  <c:v>0.51136090849064919</c:v>
                </c:pt>
                <c:pt idx="8">
                  <c:v>0.47203858818287514</c:v>
                </c:pt>
                <c:pt idx="9">
                  <c:v>0.46603034577265467</c:v>
                </c:pt>
              </c:numCache>
            </c:numRef>
          </c:val>
          <c:smooth val="0"/>
          <c:extLst>
            <c:ext xmlns:c16="http://schemas.microsoft.com/office/drawing/2014/chart" uri="{C3380CC4-5D6E-409C-BE32-E72D297353CC}">
              <c16:uniqueId val="{00000001-386D-4A26-B414-DDB6F3DE1C39}"/>
            </c:ext>
          </c:extLst>
        </c:ser>
        <c:ser>
          <c:idx val="2"/>
          <c:order val="2"/>
          <c:tx>
            <c:strRef>
              <c:f>偿债能力!$C$103</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偿债能力!$D$103:$M$103</c:f>
              <c:numCache>
                <c:formatCode>0.00_ </c:formatCode>
                <c:ptCount val="10"/>
                <c:pt idx="0">
                  <c:v>6.8814904900428049</c:v>
                </c:pt>
                <c:pt idx="1">
                  <c:v>6.4800230678547051</c:v>
                </c:pt>
                <c:pt idx="2">
                  <c:v>6.4687141896013909</c:v>
                </c:pt>
                <c:pt idx="3">
                  <c:v>6.5317935876276172</c:v>
                </c:pt>
                <c:pt idx="4">
                  <c:v>6.5054879530154333</c:v>
                </c:pt>
                <c:pt idx="5">
                  <c:v>6.266279250784847</c:v>
                </c:pt>
                <c:pt idx="6">
                  <c:v>6.0182427935628215</c:v>
                </c:pt>
                <c:pt idx="7">
                  <c:v>5.9644816388186896</c:v>
                </c:pt>
                <c:pt idx="8">
                  <c:v>5.7162029328785122</c:v>
                </c:pt>
                <c:pt idx="9">
                  <c:v>5.6265886108084411</c:v>
                </c:pt>
              </c:numCache>
            </c:numRef>
          </c:val>
          <c:smooth val="0"/>
          <c:extLst>
            <c:ext xmlns:c16="http://schemas.microsoft.com/office/drawing/2014/chart" uri="{C3380CC4-5D6E-409C-BE32-E72D297353CC}">
              <c16:uniqueId val="{00000002-386D-4A26-B414-DDB6F3DE1C39}"/>
            </c:ext>
          </c:extLst>
        </c:ser>
        <c:dLbls>
          <c:showLegendKey val="0"/>
          <c:showVal val="0"/>
          <c:showCatName val="0"/>
          <c:showSerName val="0"/>
          <c:showPercent val="0"/>
          <c:showBubbleSize val="0"/>
        </c:dLbls>
        <c:smooth val="0"/>
        <c:axId val="996825536"/>
        <c:axId val="996826096"/>
      </c:lineChart>
      <c:catAx>
        <c:axId val="996825536"/>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altLang="en-US" sz="900" b="0" i="0" u="none" strike="noStrike" kern="1200" baseline="0">
                <a:solidFill>
                  <a:schemeClr val="tx1">
                    <a:lumMod val="65000"/>
                    <a:lumOff val="35000"/>
                  </a:schemeClr>
                </a:solidFill>
                <a:latin typeface="+mn-lt"/>
                <a:ea typeface="+mn-ea"/>
                <a:cs typeface="+mn-cs"/>
              </a:defRPr>
            </a:pPr>
            <a:endParaRPr lang="en-US"/>
          </a:p>
        </c:txPr>
        <c:crossAx val="996826096"/>
        <c:crosses val="autoZero"/>
        <c:auto val="0"/>
        <c:lblAlgn val="ctr"/>
        <c:lblOffset val="100"/>
        <c:noMultiLvlLbl val="0"/>
      </c:catAx>
      <c:valAx>
        <c:axId val="996826096"/>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lang="zh-CN" altLang="en-US" sz="900" b="0" i="0" u="none" strike="noStrike" kern="1200" baseline="0">
                <a:solidFill>
                  <a:schemeClr val="tx1">
                    <a:lumMod val="65000"/>
                    <a:lumOff val="35000"/>
                  </a:schemeClr>
                </a:solidFill>
                <a:latin typeface="+mn-lt"/>
                <a:ea typeface="+mn-ea"/>
                <a:cs typeface="+mn-cs"/>
              </a:defRPr>
            </a:pPr>
            <a:endParaRPr lang="en-US"/>
          </a:p>
        </c:txPr>
        <c:crossAx val="996825536"/>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lang="zh-CN" alt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zh-CN" alt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资产负债率</a:t>
            </a:r>
            <a:endParaRPr lang="zh-CN"/>
          </a:p>
        </c:rich>
      </c:tx>
      <c:overlay val="0"/>
      <c:spPr>
        <a:noFill/>
        <a:ln>
          <a:noFill/>
        </a:ln>
        <a:effectLst/>
      </c:spPr>
    </c:title>
    <c:autoTitleDeleted val="0"/>
    <c:plotArea>
      <c:layout/>
      <c:lineChart>
        <c:grouping val="standard"/>
        <c:varyColors val="0"/>
        <c:ser>
          <c:idx val="0"/>
          <c:order val="0"/>
          <c:tx>
            <c:strRef>
              <c:f>偿债能力!$C$140</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偿债能力!$D$140:$M$140</c:f>
              <c:numCache>
                <c:formatCode>0.00_ </c:formatCode>
                <c:ptCount val="10"/>
                <c:pt idx="0">
                  <c:v>25.888494258400002</c:v>
                </c:pt>
                <c:pt idx="1">
                  <c:v>27.5062755539</c:v>
                </c:pt>
                <c:pt idx="2">
                  <c:v>27.2127590027</c:v>
                </c:pt>
                <c:pt idx="3">
                  <c:v>21.210116531699999</c:v>
                </c:pt>
                <c:pt idx="4">
                  <c:v>20.422381851499999</c:v>
                </c:pt>
                <c:pt idx="5">
                  <c:v>16.033257772700001</c:v>
                </c:pt>
                <c:pt idx="6">
                  <c:v>23.252552396700001</c:v>
                </c:pt>
                <c:pt idx="7">
                  <c:v>32.794215117599997</c:v>
                </c:pt>
                <c:pt idx="8">
                  <c:v>28.668342540600001</c:v>
                </c:pt>
                <c:pt idx="9">
                  <c:v>26.549308506799999</c:v>
                </c:pt>
              </c:numCache>
            </c:numRef>
          </c:val>
          <c:smooth val="0"/>
          <c:extLst>
            <c:ext xmlns:c16="http://schemas.microsoft.com/office/drawing/2014/chart" uri="{C3380CC4-5D6E-409C-BE32-E72D297353CC}">
              <c16:uniqueId val="{00000000-AC70-4EA8-BC73-DD189CF708DE}"/>
            </c:ext>
          </c:extLst>
        </c:ser>
        <c:ser>
          <c:idx val="1"/>
          <c:order val="1"/>
          <c:tx>
            <c:strRef>
              <c:f>偿债能力!$C$141</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偿债能力!$D$141:$M$141</c:f>
              <c:numCache>
                <c:formatCode>0.00_ </c:formatCode>
                <c:ptCount val="10"/>
                <c:pt idx="0">
                  <c:v>36.708736201721756</c:v>
                </c:pt>
                <c:pt idx="1">
                  <c:v>39.178081127750445</c:v>
                </c:pt>
                <c:pt idx="2">
                  <c:v>41.026110727444554</c:v>
                </c:pt>
                <c:pt idx="3">
                  <c:v>37.779678963039423</c:v>
                </c:pt>
                <c:pt idx="4">
                  <c:v>33.816236312719631</c:v>
                </c:pt>
                <c:pt idx="5">
                  <c:v>29.962111001819409</c:v>
                </c:pt>
                <c:pt idx="6">
                  <c:v>30.576450834864811</c:v>
                </c:pt>
                <c:pt idx="7">
                  <c:v>33.178423576906638</c:v>
                </c:pt>
                <c:pt idx="8">
                  <c:v>31.38626057846286</c:v>
                </c:pt>
                <c:pt idx="9">
                  <c:v>31.184429763728229</c:v>
                </c:pt>
              </c:numCache>
            </c:numRef>
          </c:val>
          <c:smooth val="0"/>
          <c:extLst>
            <c:ext xmlns:c16="http://schemas.microsoft.com/office/drawing/2014/chart" uri="{C3380CC4-5D6E-409C-BE32-E72D297353CC}">
              <c16:uniqueId val="{00000001-AC70-4EA8-BC73-DD189CF708DE}"/>
            </c:ext>
          </c:extLst>
        </c:ser>
        <c:ser>
          <c:idx val="2"/>
          <c:order val="2"/>
          <c:tx>
            <c:strRef>
              <c:f>偿债能力!$C$142</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偿债能力!$D$142:$M$142</c:f>
              <c:numCache>
                <c:formatCode>0.00_ </c:formatCode>
                <c:ptCount val="10"/>
                <c:pt idx="0">
                  <c:v>86.388906899448386</c:v>
                </c:pt>
                <c:pt idx="1">
                  <c:v>85.720163479353175</c:v>
                </c:pt>
                <c:pt idx="2">
                  <c:v>85.666697174424073</c:v>
                </c:pt>
                <c:pt idx="3">
                  <c:v>85.767704936256763</c:v>
                </c:pt>
                <c:pt idx="4">
                  <c:v>85.701601886956965</c:v>
                </c:pt>
                <c:pt idx="5">
                  <c:v>85.262939815208995</c:v>
                </c:pt>
                <c:pt idx="6">
                  <c:v>84.730595215814049</c:v>
                </c:pt>
                <c:pt idx="7">
                  <c:v>84.539229740678948</c:v>
                </c:pt>
                <c:pt idx="8">
                  <c:v>83.925361178796337</c:v>
                </c:pt>
                <c:pt idx="9">
                  <c:v>83.604367379735734</c:v>
                </c:pt>
              </c:numCache>
            </c:numRef>
          </c:val>
          <c:smooth val="0"/>
          <c:extLst>
            <c:ext xmlns:c16="http://schemas.microsoft.com/office/drawing/2014/chart" uri="{C3380CC4-5D6E-409C-BE32-E72D297353CC}">
              <c16:uniqueId val="{00000002-AC70-4EA8-BC73-DD189CF708DE}"/>
            </c:ext>
          </c:extLst>
        </c:ser>
        <c:dLbls>
          <c:showLegendKey val="0"/>
          <c:showVal val="0"/>
          <c:showCatName val="0"/>
          <c:showSerName val="0"/>
          <c:showPercent val="0"/>
          <c:showBubbleSize val="0"/>
        </c:dLbls>
        <c:smooth val="0"/>
        <c:axId val="918937024"/>
        <c:axId val="914629744"/>
      </c:lineChart>
      <c:catAx>
        <c:axId val="91893702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629744"/>
        <c:crosses val="autoZero"/>
        <c:auto val="0"/>
        <c:lblAlgn val="ctr"/>
        <c:lblOffset val="100"/>
        <c:noMultiLvlLbl val="0"/>
      </c:catAx>
      <c:valAx>
        <c:axId val="91462974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93702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流动负债 </a:t>
            </a:r>
            <a:r>
              <a:rPr lang="en-US" altLang="zh-CN"/>
              <a:t>/</a:t>
            </a:r>
            <a:r>
              <a:rPr lang="zh-CN" altLang="en-US"/>
              <a:t>负债合计</a:t>
            </a:r>
            <a:endParaRPr lang="zh-CN"/>
          </a:p>
        </c:rich>
      </c:tx>
      <c:overlay val="0"/>
      <c:spPr>
        <a:noFill/>
        <a:ln>
          <a:noFill/>
        </a:ln>
        <a:effectLst/>
      </c:spPr>
    </c:title>
    <c:autoTitleDeleted val="0"/>
    <c:plotArea>
      <c:layout/>
      <c:lineChart>
        <c:grouping val="standard"/>
        <c:varyColors val="0"/>
        <c:ser>
          <c:idx val="0"/>
          <c:order val="0"/>
          <c:tx>
            <c:strRef>
              <c:f>偿债能力!$C$180</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偿债能力!$D$180:$M$180</c:f>
              <c:numCache>
                <c:formatCode>0.00_ </c:formatCode>
                <c:ptCount val="10"/>
                <c:pt idx="0">
                  <c:v>99.804613381099998</c:v>
                </c:pt>
                <c:pt idx="1">
                  <c:v>99.8579180208</c:v>
                </c:pt>
                <c:pt idx="2">
                  <c:v>99.823427019999997</c:v>
                </c:pt>
                <c:pt idx="3">
                  <c:v>99.813813089700005</c:v>
                </c:pt>
                <c:pt idx="4">
                  <c:v>99.843091316900001</c:v>
                </c:pt>
                <c:pt idx="5">
                  <c:v>99.831749206599994</c:v>
                </c:pt>
                <c:pt idx="6">
                  <c:v>99.922411059599995</c:v>
                </c:pt>
                <c:pt idx="7">
                  <c:v>99.957959817700001</c:v>
                </c:pt>
                <c:pt idx="8">
                  <c:v>99.959653271500002</c:v>
                </c:pt>
                <c:pt idx="9">
                  <c:v>100</c:v>
                </c:pt>
              </c:numCache>
            </c:numRef>
          </c:val>
          <c:smooth val="0"/>
          <c:extLst>
            <c:ext xmlns:c16="http://schemas.microsoft.com/office/drawing/2014/chart" uri="{C3380CC4-5D6E-409C-BE32-E72D297353CC}">
              <c16:uniqueId val="{00000000-B2C3-490F-AF8E-4E04CE47536C}"/>
            </c:ext>
          </c:extLst>
        </c:ser>
        <c:ser>
          <c:idx val="1"/>
          <c:order val="1"/>
          <c:tx>
            <c:strRef>
              <c:f>偿债能力!$C$181</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偿债能力!$D$181:$M$181</c:f>
              <c:numCache>
                <c:formatCode>0.00_ </c:formatCode>
                <c:ptCount val="10"/>
                <c:pt idx="0">
                  <c:v>91.187738427177806</c:v>
                </c:pt>
                <c:pt idx="1">
                  <c:v>91.095565580956603</c:v>
                </c:pt>
                <c:pt idx="2">
                  <c:v>91.803948254472573</c:v>
                </c:pt>
                <c:pt idx="3">
                  <c:v>90.946117260043835</c:v>
                </c:pt>
                <c:pt idx="4">
                  <c:v>92.553731550419997</c:v>
                </c:pt>
                <c:pt idx="5">
                  <c:v>89.354214757743478</c:v>
                </c:pt>
                <c:pt idx="6">
                  <c:v>89.519226679902602</c:v>
                </c:pt>
                <c:pt idx="7">
                  <c:v>91.261740852861664</c:v>
                </c:pt>
                <c:pt idx="8">
                  <c:v>92.287410020792194</c:v>
                </c:pt>
                <c:pt idx="9">
                  <c:v>92.625819902015337</c:v>
                </c:pt>
              </c:numCache>
            </c:numRef>
          </c:val>
          <c:smooth val="0"/>
          <c:extLst>
            <c:ext xmlns:c16="http://schemas.microsoft.com/office/drawing/2014/chart" uri="{C3380CC4-5D6E-409C-BE32-E72D297353CC}">
              <c16:uniqueId val="{00000001-B2C3-490F-AF8E-4E04CE47536C}"/>
            </c:ext>
          </c:extLst>
        </c:ser>
        <c:ser>
          <c:idx val="2"/>
          <c:order val="2"/>
          <c:tx>
            <c:strRef>
              <c:f>偿债能力!$C$182</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偿债能力!$D$182:$M$182</c:f>
              <c:numCache>
                <c:formatCode>0.00_ </c:formatCode>
                <c:ptCount val="10"/>
                <c:pt idx="0">
                  <c:v>70.285021730602296</c:v>
                </c:pt>
                <c:pt idx="1">
                  <c:v>70.664877940559364</c:v>
                </c:pt>
                <c:pt idx="2">
                  <c:v>71.854720760142825</c:v>
                </c:pt>
                <c:pt idx="3">
                  <c:v>70.854040335023456</c:v>
                </c:pt>
                <c:pt idx="4">
                  <c:v>71.088770405339062</c:v>
                </c:pt>
                <c:pt idx="5">
                  <c:v>70.519991662896743</c:v>
                </c:pt>
                <c:pt idx="6">
                  <c:v>69.789057575674505</c:v>
                </c:pt>
                <c:pt idx="7">
                  <c:v>69.908908082023686</c:v>
                </c:pt>
                <c:pt idx="8">
                  <c:v>71.514078612837963</c:v>
                </c:pt>
                <c:pt idx="9">
                  <c:v>72.113517516536035</c:v>
                </c:pt>
              </c:numCache>
            </c:numRef>
          </c:val>
          <c:smooth val="0"/>
          <c:extLst>
            <c:ext xmlns:c16="http://schemas.microsoft.com/office/drawing/2014/chart" uri="{C3380CC4-5D6E-409C-BE32-E72D297353CC}">
              <c16:uniqueId val="{00000002-B2C3-490F-AF8E-4E04CE47536C}"/>
            </c:ext>
          </c:extLst>
        </c:ser>
        <c:dLbls>
          <c:showLegendKey val="0"/>
          <c:showVal val="0"/>
          <c:showCatName val="0"/>
          <c:showSerName val="0"/>
          <c:showPercent val="0"/>
          <c:showBubbleSize val="0"/>
        </c:dLbls>
        <c:smooth val="0"/>
        <c:axId val="909750144"/>
        <c:axId val="909750704"/>
      </c:lineChart>
      <c:catAx>
        <c:axId val="90975014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750704"/>
        <c:crosses val="autoZero"/>
        <c:auto val="0"/>
        <c:lblAlgn val="ctr"/>
        <c:lblOffset val="100"/>
        <c:noMultiLvlLbl val="0"/>
      </c:catAx>
      <c:valAx>
        <c:axId val="90975070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75014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非流动负债 </a:t>
            </a:r>
            <a:r>
              <a:rPr lang="en-US" altLang="zh-CN"/>
              <a:t>/</a:t>
            </a:r>
            <a:r>
              <a:rPr lang="zh-CN" altLang="en-US"/>
              <a:t>负债合计</a:t>
            </a:r>
            <a:endParaRPr lang="zh-CN"/>
          </a:p>
        </c:rich>
      </c:tx>
      <c:overlay val="0"/>
      <c:spPr>
        <a:noFill/>
        <a:ln>
          <a:noFill/>
        </a:ln>
        <a:effectLst/>
      </c:spPr>
    </c:title>
    <c:autoTitleDeleted val="0"/>
    <c:plotArea>
      <c:layout/>
      <c:lineChart>
        <c:grouping val="standard"/>
        <c:varyColors val="0"/>
        <c:ser>
          <c:idx val="0"/>
          <c:order val="0"/>
          <c:tx>
            <c:strRef>
              <c:f>偿债能力!$C$218</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偿债能力!$D$218:$M$218</c:f>
              <c:numCache>
                <c:formatCode>0.00_ </c:formatCode>
                <c:ptCount val="10"/>
                <c:pt idx="0">
                  <c:v>0.19538661889999531</c:v>
                </c:pt>
                <c:pt idx="1">
                  <c:v>0.1420819792000039</c:v>
                </c:pt>
                <c:pt idx="2">
                  <c:v>0.17657298000000041</c:v>
                </c:pt>
                <c:pt idx="3">
                  <c:v>0.18618691030000131</c:v>
                </c:pt>
                <c:pt idx="4">
                  <c:v>0.15690868309999881</c:v>
                </c:pt>
                <c:pt idx="5">
                  <c:v>0.1682507934000044</c:v>
                </c:pt>
                <c:pt idx="6">
                  <c:v>7.7588940399997405E-2</c:v>
                </c:pt>
                <c:pt idx="7">
                  <c:v>4.20401822999961E-2</c:v>
                </c:pt>
                <c:pt idx="8">
                  <c:v>4.0346728499995897E-2</c:v>
                </c:pt>
                <c:pt idx="9">
                  <c:v>0</c:v>
                </c:pt>
              </c:numCache>
            </c:numRef>
          </c:val>
          <c:smooth val="0"/>
          <c:extLst>
            <c:ext xmlns:c16="http://schemas.microsoft.com/office/drawing/2014/chart" uri="{C3380CC4-5D6E-409C-BE32-E72D297353CC}">
              <c16:uniqueId val="{00000000-5A03-42A7-A79B-A42731E0DC32}"/>
            </c:ext>
          </c:extLst>
        </c:ser>
        <c:ser>
          <c:idx val="1"/>
          <c:order val="1"/>
          <c:tx>
            <c:strRef>
              <c:f>偿债能力!$C$219</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偿债能力!$D$219:$M$219</c:f>
              <c:numCache>
                <c:formatCode>0.00_ </c:formatCode>
                <c:ptCount val="10"/>
                <c:pt idx="0">
                  <c:v>9.0498760590217113</c:v>
                </c:pt>
                <c:pt idx="1">
                  <c:v>9.2690274224582918</c:v>
                </c:pt>
                <c:pt idx="2">
                  <c:v>8.6036325787637224</c:v>
                </c:pt>
                <c:pt idx="3">
                  <c:v>9.5583234155242192</c:v>
                </c:pt>
                <c:pt idx="4">
                  <c:v>7.8852419885657623</c:v>
                </c:pt>
                <c:pt idx="5">
                  <c:v>11.011781839758211</c:v>
                </c:pt>
                <c:pt idx="6">
                  <c:v>10.542898822388343</c:v>
                </c:pt>
                <c:pt idx="7">
                  <c:v>8.7382591471383133</c:v>
                </c:pt>
                <c:pt idx="8">
                  <c:v>7.7125899792078512</c:v>
                </c:pt>
                <c:pt idx="9">
                  <c:v>9.7182482987085255</c:v>
                </c:pt>
              </c:numCache>
            </c:numRef>
          </c:val>
          <c:smooth val="0"/>
          <c:extLst>
            <c:ext xmlns:c16="http://schemas.microsoft.com/office/drawing/2014/chart" uri="{C3380CC4-5D6E-409C-BE32-E72D297353CC}">
              <c16:uniqueId val="{00000001-5A03-42A7-A79B-A42731E0DC32}"/>
            </c:ext>
          </c:extLst>
        </c:ser>
        <c:ser>
          <c:idx val="2"/>
          <c:order val="2"/>
          <c:tx>
            <c:strRef>
              <c:f>偿债能力!$C$220</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偿债能力!$D$220:$M$220</c:f>
              <c:numCache>
                <c:formatCode>0.00_ </c:formatCode>
                <c:ptCount val="10"/>
                <c:pt idx="0">
                  <c:v>30.097612472001309</c:v>
                </c:pt>
                <c:pt idx="1">
                  <c:v>29.640429768349197</c:v>
                </c:pt>
                <c:pt idx="2">
                  <c:v>28.433486436479122</c:v>
                </c:pt>
                <c:pt idx="3">
                  <c:v>29.394808877640632</c:v>
                </c:pt>
                <c:pt idx="4">
                  <c:v>29.088675082522965</c:v>
                </c:pt>
                <c:pt idx="5">
                  <c:v>29.597340471078365</c:v>
                </c:pt>
                <c:pt idx="6">
                  <c:v>30.325388673073348</c:v>
                </c:pt>
                <c:pt idx="7">
                  <c:v>30.161148412513761</c:v>
                </c:pt>
                <c:pt idx="8">
                  <c:v>28.55096823272752</c:v>
                </c:pt>
                <c:pt idx="9">
                  <c:v>27.95048661498614</c:v>
                </c:pt>
              </c:numCache>
            </c:numRef>
          </c:val>
          <c:smooth val="0"/>
          <c:extLst>
            <c:ext xmlns:c16="http://schemas.microsoft.com/office/drawing/2014/chart" uri="{C3380CC4-5D6E-409C-BE32-E72D297353CC}">
              <c16:uniqueId val="{00000002-5A03-42A7-A79B-A42731E0DC32}"/>
            </c:ext>
          </c:extLst>
        </c:ser>
        <c:dLbls>
          <c:showLegendKey val="0"/>
          <c:showVal val="0"/>
          <c:showCatName val="0"/>
          <c:showSerName val="0"/>
          <c:showPercent val="0"/>
          <c:showBubbleSize val="0"/>
        </c:dLbls>
        <c:smooth val="0"/>
        <c:axId val="987245728"/>
        <c:axId val="987246288"/>
      </c:lineChart>
      <c:catAx>
        <c:axId val="98724572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246288"/>
        <c:crosses val="autoZero"/>
        <c:auto val="0"/>
        <c:lblAlgn val="ctr"/>
        <c:lblOffset val="100"/>
        <c:noMultiLvlLbl val="0"/>
      </c:catAx>
      <c:valAx>
        <c:axId val="987246288"/>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245728"/>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流动比率</a:t>
            </a:r>
          </a:p>
        </c:rich>
      </c:tx>
      <c:overlay val="0"/>
      <c:spPr>
        <a:noFill/>
        <a:ln>
          <a:noFill/>
        </a:ln>
        <a:effectLst/>
      </c:spPr>
    </c:title>
    <c:autoTitleDeleted val="0"/>
    <c:plotArea>
      <c:layout>
        <c:manualLayout>
          <c:layoutTarget val="inner"/>
          <c:xMode val="edge"/>
          <c:yMode val="edge"/>
          <c:x val="4.8595416800970057E-2"/>
          <c:y val="0.14980392156862746"/>
          <c:w val="0.94230776708467001"/>
          <c:h val="0.66951613401266019"/>
        </c:manualLayout>
      </c:layout>
      <c:lineChart>
        <c:grouping val="standard"/>
        <c:varyColors val="0"/>
        <c:ser>
          <c:idx val="0"/>
          <c:order val="0"/>
          <c:tx>
            <c:strRef>
              <c:f>偿债能力!$C$21</c:f>
              <c:strCache>
                <c:ptCount val="1"/>
                <c:pt idx="0">
                  <c:v>贵州茅台</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偿债能力!$D$21:$M$21</c:f>
              <c:numCache>
                <c:formatCode>0.00_ </c:formatCode>
                <c:ptCount val="10"/>
                <c:pt idx="0">
                  <c:v>3.064880257595</c:v>
                </c:pt>
                <c:pt idx="1">
                  <c:v>2.8884085543450002</c:v>
                </c:pt>
                <c:pt idx="2">
                  <c:v>2.9353924646010001</c:v>
                </c:pt>
                <c:pt idx="3">
                  <c:v>3.8025977172530001</c:v>
                </c:pt>
                <c:pt idx="4">
                  <c:v>3.7083677303370002</c:v>
                </c:pt>
                <c:pt idx="5">
                  <c:v>4.5117252630089997</c:v>
                </c:pt>
                <c:pt idx="6">
                  <c:v>3.2418418117379999</c:v>
                </c:pt>
                <c:pt idx="7">
                  <c:v>2.435967382022</c:v>
                </c:pt>
                <c:pt idx="8">
                  <c:v>2.9099007258479999</c:v>
                </c:pt>
                <c:pt idx="9">
                  <c:v>3.248532646163</c:v>
                </c:pt>
              </c:numCache>
            </c:numRef>
          </c:val>
          <c:smooth val="0"/>
          <c:extLst>
            <c:ext xmlns:c16="http://schemas.microsoft.com/office/drawing/2014/chart" uri="{C3380CC4-5D6E-409C-BE32-E72D297353CC}">
              <c16:uniqueId val="{00000000-5842-4786-AB5A-BD66315C2B67}"/>
            </c:ext>
          </c:extLst>
        </c:ser>
        <c:ser>
          <c:idx val="1"/>
          <c:order val="1"/>
          <c:tx>
            <c:strRef>
              <c:f>偿债能力!$C$22</c:f>
              <c:strCache>
                <c:ptCount val="1"/>
                <c:pt idx="0">
                  <c:v>饮料</c:v>
                </c:pt>
              </c:strCache>
            </c:strRef>
          </c:tx>
          <c:spPr>
            <a:ln w="28575" cap="rnd">
              <a:solidFill>
                <a:schemeClr val="accent2"/>
              </a:solidFill>
              <a:round/>
            </a:ln>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偿债能力!$D$22:$M$22</c:f>
              <c:numCache>
                <c:formatCode>0.00_ </c:formatCode>
                <c:ptCount val="10"/>
                <c:pt idx="0">
                  <c:v>1.7540540299823981</c:v>
                </c:pt>
                <c:pt idx="1">
                  <c:v>1.7532295516628034</c:v>
                </c:pt>
                <c:pt idx="2">
                  <c:v>1.7379576986706464</c:v>
                </c:pt>
                <c:pt idx="3">
                  <c:v>1.9269570854451479</c:v>
                </c:pt>
                <c:pt idx="4">
                  <c:v>2.071460195004879</c:v>
                </c:pt>
                <c:pt idx="5">
                  <c:v>2.3669946808869788</c:v>
                </c:pt>
                <c:pt idx="6">
                  <c:v>2.4038009074342965</c:v>
                </c:pt>
                <c:pt idx="7">
                  <c:v>2.2595001114518851</c:v>
                </c:pt>
                <c:pt idx="8">
                  <c:v>2.4581766311477247</c:v>
                </c:pt>
                <c:pt idx="9">
                  <c:v>2.5733775799874148</c:v>
                </c:pt>
              </c:numCache>
            </c:numRef>
          </c:val>
          <c:smooth val="0"/>
          <c:extLst>
            <c:ext xmlns:c16="http://schemas.microsoft.com/office/drawing/2014/chart" uri="{C3380CC4-5D6E-409C-BE32-E72D297353CC}">
              <c16:uniqueId val="{00000001-5842-4786-AB5A-BD66315C2B67}"/>
            </c:ext>
          </c:extLst>
        </c:ser>
        <c:ser>
          <c:idx val="2"/>
          <c:order val="2"/>
          <c:tx>
            <c:strRef>
              <c:f>偿债能力!$C$23</c:f>
              <c:strCache>
                <c:ptCount val="1"/>
                <c:pt idx="0">
                  <c:v>全市场</c:v>
                </c:pt>
              </c:strCache>
            </c:strRef>
          </c:tx>
          <c:spPr>
            <a:ln w="28575" cap="rnd">
              <a:solidFill>
                <a:schemeClr val="accent3"/>
              </a:solidFill>
              <a:round/>
            </a:ln>
            <a:effectLst/>
          </c:spPr>
          <c:marker>
            <c:symbol val="none"/>
          </c:marker>
          <c:cat>
            <c:strRef>
              <c:f>偿债能力!$D$20:$M$20</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偿债能力!$D$23:$M$23</c:f>
              <c:numCache>
                <c:formatCode>0.00_ </c:formatCode>
                <c:ptCount val="10"/>
                <c:pt idx="0">
                  <c:v>1.0903861683245142</c:v>
                </c:pt>
                <c:pt idx="1">
                  <c:v>1.1525767998466498</c:v>
                </c:pt>
                <c:pt idx="2">
                  <c:v>1.1564114689555436</c:v>
                </c:pt>
                <c:pt idx="3">
                  <c:v>1.1356173592867798</c:v>
                </c:pt>
                <c:pt idx="4">
                  <c:v>1.1261050704290849</c:v>
                </c:pt>
                <c:pt idx="5">
                  <c:v>1.1399745004333639</c:v>
                </c:pt>
                <c:pt idx="6">
                  <c:v>1.1874512581552015</c:v>
                </c:pt>
                <c:pt idx="7">
                  <c:v>1.2205359592788343</c:v>
                </c:pt>
                <c:pt idx="8">
                  <c:v>1.2254385913383223</c:v>
                </c:pt>
                <c:pt idx="9">
                  <c:v>1.2089875370701675</c:v>
                </c:pt>
              </c:numCache>
            </c:numRef>
          </c:val>
          <c:smooth val="0"/>
          <c:extLst>
            <c:ext xmlns:c16="http://schemas.microsoft.com/office/drawing/2014/chart" uri="{C3380CC4-5D6E-409C-BE32-E72D297353CC}">
              <c16:uniqueId val="{00000002-5842-4786-AB5A-BD66315C2B67}"/>
            </c:ext>
          </c:extLst>
        </c:ser>
        <c:dLbls>
          <c:showLegendKey val="0"/>
          <c:showVal val="0"/>
          <c:showCatName val="0"/>
          <c:showSerName val="0"/>
          <c:showPercent val="0"/>
          <c:showBubbleSize val="0"/>
        </c:dLbls>
        <c:smooth val="0"/>
        <c:axId val="916327904"/>
        <c:axId val="916328464"/>
      </c:lineChart>
      <c:catAx>
        <c:axId val="91632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328464"/>
        <c:crosses val="autoZero"/>
        <c:auto val="1"/>
        <c:lblAlgn val="ctr"/>
        <c:lblOffset val="100"/>
        <c:noMultiLvlLbl val="1"/>
      </c:catAx>
      <c:valAx>
        <c:axId val="91632846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32790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速动比率</a:t>
            </a:r>
          </a:p>
        </c:rich>
      </c:tx>
      <c:overlay val="0"/>
      <c:spPr>
        <a:noFill/>
        <a:ln>
          <a:noFill/>
        </a:ln>
        <a:effectLst/>
      </c:spPr>
    </c:title>
    <c:autoTitleDeleted val="0"/>
    <c:plotArea>
      <c:layout/>
      <c:lineChart>
        <c:grouping val="standard"/>
        <c:varyColors val="0"/>
        <c:ser>
          <c:idx val="0"/>
          <c:order val="0"/>
          <c:tx>
            <c:strRef>
              <c:f>偿债能力!$C$59</c:f>
              <c:strCache>
                <c:ptCount val="1"/>
                <c:pt idx="0">
                  <c:v>贵州茅台</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偿债能力!$D$58:$M$58</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偿债能力!$D$59:$M$59</c:f>
              <c:numCache>
                <c:formatCode>0.00_ </c:formatCode>
                <c:ptCount val="10"/>
                <c:pt idx="0">
                  <c:v>2.2441678376</c:v>
                </c:pt>
                <c:pt idx="1">
                  <c:v>2.0952988222150002</c:v>
                </c:pt>
                <c:pt idx="2">
                  <c:v>2.177315226278</c:v>
                </c:pt>
                <c:pt idx="3">
                  <c:v>2.7879725703120002</c:v>
                </c:pt>
                <c:pt idx="4">
                  <c:v>2.6615375959729999</c:v>
                </c:pt>
                <c:pt idx="5">
                  <c:v>3.0907668513619999</c:v>
                </c:pt>
                <c:pt idx="6">
                  <c:v>2.343500206811</c:v>
                </c:pt>
                <c:pt idx="7">
                  <c:v>1.878916737995</c:v>
                </c:pt>
                <c:pt idx="8">
                  <c:v>2.3380918479670001</c:v>
                </c:pt>
                <c:pt idx="9">
                  <c:v>2.694622297789</c:v>
                </c:pt>
              </c:numCache>
            </c:numRef>
          </c:val>
          <c:smooth val="0"/>
          <c:extLst>
            <c:ext xmlns:c16="http://schemas.microsoft.com/office/drawing/2014/chart" uri="{C3380CC4-5D6E-409C-BE32-E72D297353CC}">
              <c16:uniqueId val="{00000000-5036-4174-9FB1-6F406C6711F3}"/>
            </c:ext>
          </c:extLst>
        </c:ser>
        <c:ser>
          <c:idx val="1"/>
          <c:order val="1"/>
          <c:tx>
            <c:strRef>
              <c:f>偿债能力!$C$60</c:f>
              <c:strCache>
                <c:ptCount val="1"/>
                <c:pt idx="0">
                  <c:v>饮料</c:v>
                </c:pt>
              </c:strCache>
            </c:strRef>
          </c:tx>
          <c:spPr>
            <a:ln w="28575" cap="rnd">
              <a:solidFill>
                <a:schemeClr val="accent2"/>
              </a:solidFill>
              <a:round/>
            </a:ln>
            <a:effectLst/>
          </c:spPr>
          <c:marker>
            <c:symbol val="none"/>
          </c:marker>
          <c:cat>
            <c:strRef>
              <c:f>偿债能力!$D$58:$M$58</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偿债能力!$D$60:$M$60</c:f>
              <c:numCache>
                <c:formatCode>0.00_ </c:formatCode>
                <c:ptCount val="10"/>
                <c:pt idx="0">
                  <c:v>1.1270673843829684</c:v>
                </c:pt>
                <c:pt idx="1">
                  <c:v>1.1750340827119419</c:v>
                </c:pt>
                <c:pt idx="2">
                  <c:v>1.1577443562791008</c:v>
                </c:pt>
                <c:pt idx="3">
                  <c:v>1.2704296236513777</c:v>
                </c:pt>
                <c:pt idx="4">
                  <c:v>1.3172368560709351</c:v>
                </c:pt>
                <c:pt idx="5">
                  <c:v>1.4515769699703032</c:v>
                </c:pt>
                <c:pt idx="6">
                  <c:v>1.5687987182387704</c:v>
                </c:pt>
                <c:pt idx="7">
                  <c:v>1.5731504433049563</c:v>
                </c:pt>
                <c:pt idx="8">
                  <c:v>1.782182749005975</c:v>
                </c:pt>
                <c:pt idx="9">
                  <c:v>1.9208281565978012</c:v>
                </c:pt>
              </c:numCache>
            </c:numRef>
          </c:val>
          <c:smooth val="0"/>
          <c:extLst>
            <c:ext xmlns:c16="http://schemas.microsoft.com/office/drawing/2014/chart" uri="{C3380CC4-5D6E-409C-BE32-E72D297353CC}">
              <c16:uniqueId val="{00000001-5036-4174-9FB1-6F406C6711F3}"/>
            </c:ext>
          </c:extLst>
        </c:ser>
        <c:ser>
          <c:idx val="2"/>
          <c:order val="2"/>
          <c:tx>
            <c:strRef>
              <c:f>偿债能力!$C$61</c:f>
              <c:strCache>
                <c:ptCount val="1"/>
                <c:pt idx="0">
                  <c:v>全市场</c:v>
                </c:pt>
              </c:strCache>
            </c:strRef>
          </c:tx>
          <c:spPr>
            <a:ln w="28575" cap="rnd">
              <a:solidFill>
                <a:schemeClr val="accent3"/>
              </a:solidFill>
              <a:round/>
            </a:ln>
            <a:effectLst/>
          </c:spPr>
          <c:marker>
            <c:symbol val="none"/>
          </c:marker>
          <c:cat>
            <c:strRef>
              <c:f>偿债能力!$D$58:$M$58</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偿债能力!$D$61:$M$61</c:f>
              <c:numCache>
                <c:formatCode>0.00_ </c:formatCode>
                <c:ptCount val="10"/>
                <c:pt idx="0">
                  <c:v>0.71334805797865408</c:v>
                </c:pt>
                <c:pt idx="1">
                  <c:v>0.7407533941231933</c:v>
                </c:pt>
                <c:pt idx="2">
                  <c:v>0.73036134083023085</c:v>
                </c:pt>
                <c:pt idx="3">
                  <c:v>0.70022494861361928</c:v>
                </c:pt>
                <c:pt idx="4">
                  <c:v>0.68426765965325553</c:v>
                </c:pt>
                <c:pt idx="5">
                  <c:v>0.70320593699336786</c:v>
                </c:pt>
                <c:pt idx="6">
                  <c:v>0.74553115622325594</c:v>
                </c:pt>
                <c:pt idx="7">
                  <c:v>0.80076578546819632</c:v>
                </c:pt>
                <c:pt idx="8">
                  <c:v>0.80110835681680159</c:v>
                </c:pt>
                <c:pt idx="9">
                  <c:v>0.7926054481339605</c:v>
                </c:pt>
              </c:numCache>
            </c:numRef>
          </c:val>
          <c:smooth val="0"/>
          <c:extLst>
            <c:ext xmlns:c16="http://schemas.microsoft.com/office/drawing/2014/chart" uri="{C3380CC4-5D6E-409C-BE32-E72D297353CC}">
              <c16:uniqueId val="{00000002-5036-4174-9FB1-6F406C6711F3}"/>
            </c:ext>
          </c:extLst>
        </c:ser>
        <c:dLbls>
          <c:showLegendKey val="0"/>
          <c:showVal val="0"/>
          <c:showCatName val="0"/>
          <c:showSerName val="0"/>
          <c:showPercent val="0"/>
          <c:showBubbleSize val="0"/>
        </c:dLbls>
        <c:smooth val="0"/>
        <c:axId val="991673504"/>
        <c:axId val="991674064"/>
      </c:lineChart>
      <c:catAx>
        <c:axId val="99167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74064"/>
        <c:crosses val="autoZero"/>
        <c:auto val="1"/>
        <c:lblAlgn val="ctr"/>
        <c:lblOffset val="100"/>
        <c:noMultiLvlLbl val="1"/>
      </c:catAx>
      <c:valAx>
        <c:axId val="99167406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7350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应收账款周转率</a:t>
            </a:r>
            <a:endParaRPr lang="zh-CN"/>
          </a:p>
        </c:rich>
      </c:tx>
      <c:overlay val="0"/>
      <c:spPr>
        <a:noFill/>
        <a:ln>
          <a:noFill/>
        </a:ln>
        <a:effectLst/>
      </c:spPr>
    </c:title>
    <c:autoTitleDeleted val="0"/>
    <c:plotArea>
      <c:layout/>
      <c:lineChart>
        <c:grouping val="standard"/>
        <c:varyColors val="0"/>
        <c:ser>
          <c:idx val="0"/>
          <c:order val="0"/>
          <c:tx>
            <c:strRef>
              <c:f>营运能力!$C$23</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营运能力!$D$23:$M$23</c:f>
              <c:numCache>
                <c:formatCode>0.00_ </c:formatCode>
                <c:ptCount val="10"/>
                <c:pt idx="0">
                  <c:v>31.830970762021</c:v>
                </c:pt>
                <c:pt idx="1">
                  <c:v>38.254023363713998</c:v>
                </c:pt>
                <c:pt idx="2">
                  <c:v>79.942029726011995</c:v>
                </c:pt>
                <c:pt idx="3">
                  <c:v>111.10457243445001</c:v>
                </c:pt>
                <c:pt idx="4">
                  <c:v>119.180170461934</c:v>
                </c:pt>
                <c:pt idx="5">
                  <c:v>29.382630604905</c:v>
                </c:pt>
                <c:pt idx="6">
                  <c:v>6.2618368615140003</c:v>
                </c:pt>
                <c:pt idx="7">
                  <c:v>8.2713727025419992</c:v>
                </c:pt>
                <c:pt idx="8">
                  <c:v>57.094996541171</c:v>
                </c:pt>
                <c:pt idx="9">
                  <c:v>82.487941657453007</c:v>
                </c:pt>
              </c:numCache>
            </c:numRef>
          </c:val>
          <c:smooth val="0"/>
          <c:extLst>
            <c:ext xmlns:c16="http://schemas.microsoft.com/office/drawing/2014/chart" uri="{C3380CC4-5D6E-409C-BE32-E72D297353CC}">
              <c16:uniqueId val="{00000000-08A5-4E82-BA78-760428BE5098}"/>
            </c:ext>
          </c:extLst>
        </c:ser>
        <c:ser>
          <c:idx val="1"/>
          <c:order val="1"/>
          <c:tx>
            <c:strRef>
              <c:f>营运能力!$C$24</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营运能力!$D$24:$M$24</c:f>
              <c:numCache>
                <c:formatCode>0.00_ </c:formatCode>
                <c:ptCount val="10"/>
                <c:pt idx="0">
                  <c:v>43.004549258927099</c:v>
                </c:pt>
                <c:pt idx="1">
                  <c:v>50.290525410280544</c:v>
                </c:pt>
                <c:pt idx="2">
                  <c:v>64.924426186436364</c:v>
                </c:pt>
                <c:pt idx="3">
                  <c:v>69.355489367346664</c:v>
                </c:pt>
                <c:pt idx="4">
                  <c:v>65.913412319046358</c:v>
                </c:pt>
                <c:pt idx="5">
                  <c:v>67.860989126220019</c:v>
                </c:pt>
                <c:pt idx="6">
                  <c:v>73.158301746885698</c:v>
                </c:pt>
                <c:pt idx="7">
                  <c:v>65.734663732409373</c:v>
                </c:pt>
                <c:pt idx="8">
                  <c:v>72.429290751880586</c:v>
                </c:pt>
                <c:pt idx="9">
                  <c:v>74.842159081193856</c:v>
                </c:pt>
              </c:numCache>
            </c:numRef>
          </c:val>
          <c:smooth val="0"/>
          <c:extLst>
            <c:ext xmlns:c16="http://schemas.microsoft.com/office/drawing/2014/chart" uri="{C3380CC4-5D6E-409C-BE32-E72D297353CC}">
              <c16:uniqueId val="{00000001-08A5-4E82-BA78-760428BE5098}"/>
            </c:ext>
          </c:extLst>
        </c:ser>
        <c:ser>
          <c:idx val="2"/>
          <c:order val="2"/>
          <c:tx>
            <c:strRef>
              <c:f>营运能力!$C$25</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营运能力!$D$25:$M$25</c:f>
              <c:numCache>
                <c:formatCode>0.00_ </c:formatCode>
                <c:ptCount val="10"/>
                <c:pt idx="0">
                  <c:v>12.884598907137075</c:v>
                </c:pt>
                <c:pt idx="1">
                  <c:v>13.851042973128823</c:v>
                </c:pt>
                <c:pt idx="2">
                  <c:v>12.09605786003736</c:v>
                </c:pt>
                <c:pt idx="3">
                  <c:v>10.792541298320536</c:v>
                </c:pt>
                <c:pt idx="4">
                  <c:v>10.811716218311046</c:v>
                </c:pt>
                <c:pt idx="5">
                  <c:v>9.5981836315380029</c:v>
                </c:pt>
                <c:pt idx="6">
                  <c:v>8.2780371470125687</c:v>
                </c:pt>
                <c:pt idx="7">
                  <c:v>7.8818761923626024</c:v>
                </c:pt>
                <c:pt idx="8">
                  <c:v>8.1202436411432029</c:v>
                </c:pt>
                <c:pt idx="9">
                  <c:v>8.2535889657960837</c:v>
                </c:pt>
              </c:numCache>
            </c:numRef>
          </c:val>
          <c:smooth val="0"/>
          <c:extLst>
            <c:ext xmlns:c16="http://schemas.microsoft.com/office/drawing/2014/chart" uri="{C3380CC4-5D6E-409C-BE32-E72D297353CC}">
              <c16:uniqueId val="{00000002-08A5-4E82-BA78-760428BE5098}"/>
            </c:ext>
          </c:extLst>
        </c:ser>
        <c:dLbls>
          <c:showLegendKey val="0"/>
          <c:showVal val="0"/>
          <c:showCatName val="0"/>
          <c:showSerName val="0"/>
          <c:showPercent val="0"/>
          <c:showBubbleSize val="0"/>
        </c:dLbls>
        <c:smooth val="0"/>
        <c:axId val="1233925536"/>
        <c:axId val="1233926096"/>
      </c:lineChart>
      <c:catAx>
        <c:axId val="1233925536"/>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926096"/>
        <c:crosses val="autoZero"/>
        <c:auto val="0"/>
        <c:lblAlgn val="ctr"/>
        <c:lblOffset val="100"/>
        <c:noMultiLvlLbl val="0"/>
      </c:catAx>
      <c:valAx>
        <c:axId val="1233926096"/>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925536"/>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存货周转率</a:t>
            </a:r>
            <a:endParaRPr lang="zh-CN"/>
          </a:p>
        </c:rich>
      </c:tx>
      <c:overlay val="0"/>
      <c:spPr>
        <a:noFill/>
        <a:ln>
          <a:noFill/>
        </a:ln>
        <a:effectLst/>
      </c:spPr>
    </c:title>
    <c:autoTitleDeleted val="0"/>
    <c:plotArea>
      <c:layout/>
      <c:lineChart>
        <c:grouping val="standard"/>
        <c:varyColors val="0"/>
        <c:ser>
          <c:idx val="0"/>
          <c:order val="0"/>
          <c:tx>
            <c:strRef>
              <c:f>营运能力!$C$61</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营运能力!$D$61:$M$61</c:f>
              <c:numCache>
                <c:formatCode>0.00_ </c:formatCode>
                <c:ptCount val="10"/>
                <c:pt idx="0">
                  <c:v>0.260215415984</c:v>
                </c:pt>
                <c:pt idx="1">
                  <c:v>0.215623884722</c:v>
                </c:pt>
                <c:pt idx="2">
                  <c:v>0.24311642662300001</c:v>
                </c:pt>
                <c:pt idx="3">
                  <c:v>0.24260668759699999</c:v>
                </c:pt>
                <c:pt idx="4">
                  <c:v>0.20406152288500001</c:v>
                </c:pt>
                <c:pt idx="5">
                  <c:v>0.174393922752</c:v>
                </c:pt>
                <c:pt idx="6">
                  <c:v>0.153858861565</c:v>
                </c:pt>
                <c:pt idx="7">
                  <c:v>0.176526757747</c:v>
                </c:pt>
                <c:pt idx="8">
                  <c:v>0.27837270415199999</c:v>
                </c:pt>
                <c:pt idx="9">
                  <c:v>0.28631638829400002</c:v>
                </c:pt>
              </c:numCache>
            </c:numRef>
          </c:val>
          <c:smooth val="0"/>
          <c:extLst>
            <c:ext xmlns:c16="http://schemas.microsoft.com/office/drawing/2014/chart" uri="{C3380CC4-5D6E-409C-BE32-E72D297353CC}">
              <c16:uniqueId val="{00000000-2497-43A0-BD8F-592E0667A3D6}"/>
            </c:ext>
          </c:extLst>
        </c:ser>
        <c:ser>
          <c:idx val="1"/>
          <c:order val="1"/>
          <c:tx>
            <c:strRef>
              <c:f>营运能力!$C$62</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营运能力!$D$62:$M$62</c:f>
              <c:numCache>
                <c:formatCode>0.00_ </c:formatCode>
                <c:ptCount val="10"/>
                <c:pt idx="0">
                  <c:v>1.641658693111905</c:v>
                </c:pt>
                <c:pt idx="1">
                  <c:v>1.6352482987990833</c:v>
                </c:pt>
                <c:pt idx="2">
                  <c:v>1.551389321178932</c:v>
                </c:pt>
                <c:pt idx="3">
                  <c:v>1.3815365134178956</c:v>
                </c:pt>
                <c:pt idx="4">
                  <c:v>1.1945846285781825</c:v>
                </c:pt>
                <c:pt idx="5">
                  <c:v>1.0677980349422838</c:v>
                </c:pt>
                <c:pt idx="6">
                  <c:v>0.99412610496857168</c:v>
                </c:pt>
                <c:pt idx="7">
                  <c:v>0.94375881328627487</c:v>
                </c:pt>
                <c:pt idx="8">
                  <c:v>0.97135086144669591</c:v>
                </c:pt>
                <c:pt idx="9">
                  <c:v>1.0421116658644847</c:v>
                </c:pt>
              </c:numCache>
            </c:numRef>
          </c:val>
          <c:smooth val="0"/>
          <c:extLst>
            <c:ext xmlns:c16="http://schemas.microsoft.com/office/drawing/2014/chart" uri="{C3380CC4-5D6E-409C-BE32-E72D297353CC}">
              <c16:uniqueId val="{00000001-2497-43A0-BD8F-592E0667A3D6}"/>
            </c:ext>
          </c:extLst>
        </c:ser>
        <c:ser>
          <c:idx val="2"/>
          <c:order val="2"/>
          <c:tx>
            <c:strRef>
              <c:f>营运能力!$C$63</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营运能力!$D$63:$M$63</c:f>
              <c:numCache>
                <c:formatCode>0.00_ </c:formatCode>
                <c:ptCount val="10"/>
                <c:pt idx="0">
                  <c:v>4.0844368246352047</c:v>
                </c:pt>
                <c:pt idx="1">
                  <c:v>4.360282934497409</c:v>
                </c:pt>
                <c:pt idx="2">
                  <c:v>4.1828021426123723</c:v>
                </c:pt>
                <c:pt idx="3">
                  <c:v>3.734853190409213</c:v>
                </c:pt>
                <c:pt idx="4">
                  <c:v>3.4936770294288686</c:v>
                </c:pt>
                <c:pt idx="5">
                  <c:v>3.197445430654819</c:v>
                </c:pt>
                <c:pt idx="6">
                  <c:v>2.7736897532753466</c:v>
                </c:pt>
                <c:pt idx="7">
                  <c:v>2.6947622069296959</c:v>
                </c:pt>
                <c:pt idx="8">
                  <c:v>2.810381873237533</c:v>
                </c:pt>
                <c:pt idx="9">
                  <c:v>2.7849890277689449</c:v>
                </c:pt>
              </c:numCache>
            </c:numRef>
          </c:val>
          <c:smooth val="0"/>
          <c:extLst>
            <c:ext xmlns:c16="http://schemas.microsoft.com/office/drawing/2014/chart" uri="{C3380CC4-5D6E-409C-BE32-E72D297353CC}">
              <c16:uniqueId val="{00000002-2497-43A0-BD8F-592E0667A3D6}"/>
            </c:ext>
          </c:extLst>
        </c:ser>
        <c:dLbls>
          <c:showLegendKey val="0"/>
          <c:showVal val="0"/>
          <c:showCatName val="0"/>
          <c:showSerName val="0"/>
          <c:showPercent val="0"/>
          <c:showBubbleSize val="0"/>
        </c:dLbls>
        <c:smooth val="0"/>
        <c:axId val="1236090048"/>
        <c:axId val="915453856"/>
      </c:lineChart>
      <c:catAx>
        <c:axId val="123609004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453856"/>
        <c:crosses val="autoZero"/>
        <c:auto val="0"/>
        <c:lblAlgn val="ctr"/>
        <c:lblOffset val="100"/>
        <c:noMultiLvlLbl val="0"/>
      </c:catAx>
      <c:valAx>
        <c:axId val="915453856"/>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090048"/>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固定资产周转率</a:t>
            </a:r>
            <a:endParaRPr lang="zh-CN"/>
          </a:p>
        </c:rich>
      </c:tx>
      <c:overlay val="0"/>
      <c:spPr>
        <a:noFill/>
        <a:ln>
          <a:noFill/>
        </a:ln>
        <a:effectLst/>
      </c:spPr>
    </c:title>
    <c:autoTitleDeleted val="0"/>
    <c:plotArea>
      <c:layout/>
      <c:lineChart>
        <c:grouping val="standard"/>
        <c:varyColors val="0"/>
        <c:ser>
          <c:idx val="0"/>
          <c:order val="0"/>
          <c:tx>
            <c:strRef>
              <c:f>营运能力!$C$99</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营运能力!$D$99:$M$99</c:f>
              <c:numCache>
                <c:formatCode>0.00_ </c:formatCode>
                <c:ptCount val="10"/>
                <c:pt idx="0">
                  <c:v>3.6089512234927641</c:v>
                </c:pt>
                <c:pt idx="1">
                  <c:v>3.1609709121131204</c:v>
                </c:pt>
                <c:pt idx="2">
                  <c:v>3.8267033589759247</c:v>
                </c:pt>
                <c:pt idx="3">
                  <c:v>4.3251185832152723</c:v>
                </c:pt>
                <c:pt idx="4">
                  <c:v>4.0534116214345106</c:v>
                </c:pt>
                <c:pt idx="5">
                  <c:v>3.4094067017198419</c:v>
                </c:pt>
                <c:pt idx="6">
                  <c:v>3.0696863688182252</c:v>
                </c:pt>
                <c:pt idx="7">
                  <c:v>3.1044788469096773</c:v>
                </c:pt>
                <c:pt idx="8">
                  <c:v>4.1123475992733498</c:v>
                </c:pt>
                <c:pt idx="9">
                  <c:v>5.0634743759902925</c:v>
                </c:pt>
              </c:numCache>
            </c:numRef>
          </c:val>
          <c:smooth val="0"/>
          <c:extLst>
            <c:ext xmlns:c16="http://schemas.microsoft.com/office/drawing/2014/chart" uri="{C3380CC4-5D6E-409C-BE32-E72D297353CC}">
              <c16:uniqueId val="{00000000-D6D3-4EBB-8FE4-A9DEF5426264}"/>
            </c:ext>
          </c:extLst>
        </c:ser>
        <c:ser>
          <c:idx val="1"/>
          <c:order val="1"/>
          <c:tx>
            <c:strRef>
              <c:f>营运能力!$C$100</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营运能力!$D$100:$M$100</c:f>
              <c:numCache>
                <c:formatCode>0.00_ </c:formatCode>
                <c:ptCount val="10"/>
                <c:pt idx="0">
                  <c:v>2.5165699242825301</c:v>
                </c:pt>
                <c:pt idx="1">
                  <c:v>2.7319127191605577</c:v>
                </c:pt>
                <c:pt idx="2">
                  <c:v>3.1640555862081117</c:v>
                </c:pt>
                <c:pt idx="3">
                  <c:v>3.4542253169316495</c:v>
                </c:pt>
                <c:pt idx="4">
                  <c:v>3.0823682878833831</c:v>
                </c:pt>
                <c:pt idx="5">
                  <c:v>2.7546307764050049</c:v>
                </c:pt>
                <c:pt idx="6">
                  <c:v>2.635659404942293</c:v>
                </c:pt>
                <c:pt idx="7">
                  <c:v>2.5891249304052555</c:v>
                </c:pt>
                <c:pt idx="8">
                  <c:v>2.8679975852477906</c:v>
                </c:pt>
                <c:pt idx="9">
                  <c:v>3.4623594733272642</c:v>
                </c:pt>
              </c:numCache>
            </c:numRef>
          </c:val>
          <c:smooth val="0"/>
          <c:extLst>
            <c:ext xmlns:c16="http://schemas.microsoft.com/office/drawing/2014/chart" uri="{C3380CC4-5D6E-409C-BE32-E72D297353CC}">
              <c16:uniqueId val="{00000001-D6D3-4EBB-8FE4-A9DEF5426264}"/>
            </c:ext>
          </c:extLst>
        </c:ser>
        <c:ser>
          <c:idx val="2"/>
          <c:order val="2"/>
          <c:tx>
            <c:strRef>
              <c:f>营运能力!$C$101</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营运能力!$D$101:$M$101</c:f>
              <c:numCache>
                <c:formatCode>0.00_ </c:formatCode>
                <c:ptCount val="10"/>
                <c:pt idx="0">
                  <c:v>2.7062891935454534</c:v>
                </c:pt>
                <c:pt idx="1">
                  <c:v>3.1327212555975246</c:v>
                </c:pt>
                <c:pt idx="2">
                  <c:v>3.333762152596905</c:v>
                </c:pt>
                <c:pt idx="3">
                  <c:v>3.2536913159357259</c:v>
                </c:pt>
                <c:pt idx="4">
                  <c:v>3.1813148814082024</c:v>
                </c:pt>
                <c:pt idx="5">
                  <c:v>3.0495656706753445</c:v>
                </c:pt>
                <c:pt idx="6">
                  <c:v>2.833618829832028</c:v>
                </c:pt>
                <c:pt idx="7">
                  <c:v>2.8108060013827401</c:v>
                </c:pt>
                <c:pt idx="8">
                  <c:v>3.0834160838204947</c:v>
                </c:pt>
                <c:pt idx="9">
                  <c:v>3.2312628496056948</c:v>
                </c:pt>
              </c:numCache>
            </c:numRef>
          </c:val>
          <c:smooth val="0"/>
          <c:extLst>
            <c:ext xmlns:c16="http://schemas.microsoft.com/office/drawing/2014/chart" uri="{C3380CC4-5D6E-409C-BE32-E72D297353CC}">
              <c16:uniqueId val="{00000002-D6D3-4EBB-8FE4-A9DEF5426264}"/>
            </c:ext>
          </c:extLst>
        </c:ser>
        <c:dLbls>
          <c:showLegendKey val="0"/>
          <c:showVal val="0"/>
          <c:showCatName val="0"/>
          <c:showSerName val="0"/>
          <c:showPercent val="0"/>
          <c:showBubbleSize val="0"/>
        </c:dLbls>
        <c:smooth val="0"/>
        <c:axId val="1231486512"/>
        <c:axId val="1231487072"/>
      </c:lineChart>
      <c:catAx>
        <c:axId val="1231486512"/>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487072"/>
        <c:crosses val="autoZero"/>
        <c:auto val="0"/>
        <c:lblAlgn val="ctr"/>
        <c:lblOffset val="100"/>
        <c:noMultiLvlLbl val="0"/>
      </c:catAx>
      <c:valAx>
        <c:axId val="1231487072"/>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486512"/>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总资产周转率</a:t>
            </a:r>
            <a:endParaRPr lang="zh-CN"/>
          </a:p>
        </c:rich>
      </c:tx>
      <c:overlay val="0"/>
      <c:spPr>
        <a:noFill/>
        <a:ln>
          <a:noFill/>
        </a:ln>
        <a:effectLst/>
      </c:spPr>
    </c:title>
    <c:autoTitleDeleted val="0"/>
    <c:plotArea>
      <c:layout/>
      <c:lineChart>
        <c:grouping val="standard"/>
        <c:varyColors val="0"/>
        <c:ser>
          <c:idx val="0"/>
          <c:order val="0"/>
          <c:tx>
            <c:strRef>
              <c:f>营运能力!$C$138</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营运能力!$D$138:$M$138</c:f>
              <c:numCache>
                <c:formatCode>0.00_ </c:formatCode>
                <c:ptCount val="10"/>
                <c:pt idx="0">
                  <c:v>0.54442351749499995</c:v>
                </c:pt>
                <c:pt idx="1">
                  <c:v>0.51296301129999999</c:v>
                </c:pt>
                <c:pt idx="2">
                  <c:v>0.608458492061</c:v>
                </c:pt>
                <c:pt idx="3">
                  <c:v>0.66221878496599995</c:v>
                </c:pt>
                <c:pt idx="4">
                  <c:v>0.61861356640099996</c:v>
                </c:pt>
                <c:pt idx="5">
                  <c:v>0.531079312217</c:v>
                </c:pt>
                <c:pt idx="6">
                  <c:v>0.43958522314600001</c:v>
                </c:pt>
                <c:pt idx="7">
                  <c:v>0.40309064696800001</c:v>
                </c:pt>
                <c:pt idx="8">
                  <c:v>0.493347406978</c:v>
                </c:pt>
                <c:pt idx="9">
                  <c:v>0.52435118706399997</c:v>
                </c:pt>
              </c:numCache>
            </c:numRef>
          </c:val>
          <c:smooth val="0"/>
          <c:extLst>
            <c:ext xmlns:c16="http://schemas.microsoft.com/office/drawing/2014/chart" uri="{C3380CC4-5D6E-409C-BE32-E72D297353CC}">
              <c16:uniqueId val="{00000000-36C4-45DA-BE5C-5CF369ED4701}"/>
            </c:ext>
          </c:extLst>
        </c:ser>
        <c:ser>
          <c:idx val="1"/>
          <c:order val="1"/>
          <c:tx>
            <c:strRef>
              <c:f>营运能力!$C$139</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营运能力!$D$139:$M$139</c:f>
              <c:numCache>
                <c:formatCode>0.00_ </c:formatCode>
                <c:ptCount val="10"/>
                <c:pt idx="0">
                  <c:v>0.74643699652089113</c:v>
                </c:pt>
                <c:pt idx="1">
                  <c:v>0.73404174973833769</c:v>
                </c:pt>
                <c:pt idx="2">
                  <c:v>0.74958344980709313</c:v>
                </c:pt>
                <c:pt idx="3">
                  <c:v>0.75770047047215983</c:v>
                </c:pt>
                <c:pt idx="4">
                  <c:v>0.67441821109206535</c:v>
                </c:pt>
                <c:pt idx="5">
                  <c:v>0.60561350578072104</c:v>
                </c:pt>
                <c:pt idx="6">
                  <c:v>0.56029170538269557</c:v>
                </c:pt>
                <c:pt idx="7">
                  <c:v>0.52343571020623569</c:v>
                </c:pt>
                <c:pt idx="8">
                  <c:v>0.54066255926680806</c:v>
                </c:pt>
                <c:pt idx="9">
                  <c:v>0.57670389842761738</c:v>
                </c:pt>
              </c:numCache>
            </c:numRef>
          </c:val>
          <c:smooth val="0"/>
          <c:extLst>
            <c:ext xmlns:c16="http://schemas.microsoft.com/office/drawing/2014/chart" uri="{C3380CC4-5D6E-409C-BE32-E72D297353CC}">
              <c16:uniqueId val="{00000001-36C4-45DA-BE5C-5CF369ED4701}"/>
            </c:ext>
          </c:extLst>
        </c:ser>
        <c:ser>
          <c:idx val="2"/>
          <c:order val="2"/>
          <c:tx>
            <c:strRef>
              <c:f>营运能力!$C$140</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营运能力!$D$140:$M$140</c:f>
              <c:numCache>
                <c:formatCode>0.00_ </c:formatCode>
                <c:ptCount val="10"/>
                <c:pt idx="0">
                  <c:v>0.20067243437459595</c:v>
                </c:pt>
                <c:pt idx="1">
                  <c:v>0.22392367737638047</c:v>
                </c:pt>
                <c:pt idx="2">
                  <c:v>0.23088459359321034</c:v>
                </c:pt>
                <c:pt idx="3">
                  <c:v>0.21852550999031659</c:v>
                </c:pt>
                <c:pt idx="4">
                  <c:v>0.21238013179271539</c:v>
                </c:pt>
                <c:pt idx="5">
                  <c:v>0.2015269820804089</c:v>
                </c:pt>
                <c:pt idx="6">
                  <c:v>0.18153960814754702</c:v>
                </c:pt>
                <c:pt idx="7">
                  <c:v>0.17361331697682575</c:v>
                </c:pt>
                <c:pt idx="8">
                  <c:v>0.18560067141007283</c:v>
                </c:pt>
                <c:pt idx="9">
                  <c:v>0.19282208058194178</c:v>
                </c:pt>
              </c:numCache>
            </c:numRef>
          </c:val>
          <c:smooth val="0"/>
          <c:extLst>
            <c:ext xmlns:c16="http://schemas.microsoft.com/office/drawing/2014/chart" uri="{C3380CC4-5D6E-409C-BE32-E72D297353CC}">
              <c16:uniqueId val="{00000002-36C4-45DA-BE5C-5CF369ED4701}"/>
            </c:ext>
          </c:extLst>
        </c:ser>
        <c:dLbls>
          <c:showLegendKey val="0"/>
          <c:showVal val="0"/>
          <c:showCatName val="0"/>
          <c:showSerName val="0"/>
          <c:showPercent val="0"/>
          <c:showBubbleSize val="0"/>
        </c:dLbls>
        <c:smooth val="0"/>
        <c:axId val="998907440"/>
        <c:axId val="998908000"/>
      </c:lineChart>
      <c:catAx>
        <c:axId val="99890744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08000"/>
        <c:crosses val="autoZero"/>
        <c:auto val="0"/>
        <c:lblAlgn val="ctr"/>
        <c:lblOffset val="100"/>
        <c:noMultiLvlLbl val="0"/>
      </c:catAx>
      <c:valAx>
        <c:axId val="99890800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07440"/>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营业周期</a:t>
            </a:r>
            <a:endParaRPr lang="zh-CN"/>
          </a:p>
        </c:rich>
      </c:tx>
      <c:overlay val="0"/>
      <c:spPr>
        <a:noFill/>
        <a:ln>
          <a:noFill/>
        </a:ln>
        <a:effectLst/>
      </c:spPr>
    </c:title>
    <c:autoTitleDeleted val="0"/>
    <c:plotArea>
      <c:layout/>
      <c:lineChart>
        <c:grouping val="standard"/>
        <c:varyColors val="0"/>
        <c:ser>
          <c:idx val="0"/>
          <c:order val="0"/>
          <c:tx>
            <c:strRef>
              <c:f>营运能力!$C$178</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营运能力!$D$178:$M$178</c:f>
              <c:numCache>
                <c:formatCode>0.00_ </c:formatCode>
                <c:ptCount val="10"/>
                <c:pt idx="0">
                  <c:v>1394.7788884821018</c:v>
                </c:pt>
                <c:pt idx="1">
                  <c:v>1678.9846277587501</c:v>
                </c:pt>
                <c:pt idx="2">
                  <c:v>1485.2752743666128</c:v>
                </c:pt>
                <c:pt idx="3">
                  <c:v>1487.1234404186491</c:v>
                </c:pt>
                <c:pt idx="4">
                  <c:v>1767.1944746476008</c:v>
                </c:pt>
                <c:pt idx="5">
                  <c:v>2076.5442535286452</c:v>
                </c:pt>
                <c:pt idx="6">
                  <c:v>2397.2978492566031</c:v>
                </c:pt>
                <c:pt idx="7">
                  <c:v>2082.8744970932571</c:v>
                </c:pt>
                <c:pt idx="8">
                  <c:v>1299.5355246470608</c:v>
                </c:pt>
                <c:pt idx="9">
                  <c:v>1261.714585722013</c:v>
                </c:pt>
              </c:numCache>
            </c:numRef>
          </c:val>
          <c:smooth val="0"/>
          <c:extLst>
            <c:ext xmlns:c16="http://schemas.microsoft.com/office/drawing/2014/chart" uri="{C3380CC4-5D6E-409C-BE32-E72D297353CC}">
              <c16:uniqueId val="{00000000-8F86-4EA1-84CD-A70712EE80DC}"/>
            </c:ext>
          </c:extLst>
        </c:ser>
        <c:ser>
          <c:idx val="1"/>
          <c:order val="1"/>
          <c:tx>
            <c:strRef>
              <c:f>营运能力!$C$179</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营运能力!$D$179:$M$179</c:f>
              <c:numCache>
                <c:formatCode>0.00_ </c:formatCode>
                <c:ptCount val="10"/>
                <c:pt idx="0">
                  <c:v>227.66161256929675</c:v>
                </c:pt>
                <c:pt idx="1">
                  <c:v>227.30845923784594</c:v>
                </c:pt>
                <c:pt idx="2">
                  <c:v>237.59497808785292</c:v>
                </c:pt>
                <c:pt idx="3">
                  <c:v>265.7700810114689</c:v>
                </c:pt>
                <c:pt idx="4">
                  <c:v>306.821691048768</c:v>
                </c:pt>
                <c:pt idx="5">
                  <c:v>342.44736975277988</c:v>
                </c:pt>
                <c:pt idx="6">
                  <c:v>367.04793248573372</c:v>
                </c:pt>
                <c:pt idx="7">
                  <c:v>386.92995399480321</c:v>
                </c:pt>
                <c:pt idx="8">
                  <c:v>375.58824792084749</c:v>
                </c:pt>
                <c:pt idx="9">
                  <c:v>350.26254611430755</c:v>
                </c:pt>
              </c:numCache>
            </c:numRef>
          </c:val>
          <c:smooth val="0"/>
          <c:extLst>
            <c:ext xmlns:c16="http://schemas.microsoft.com/office/drawing/2014/chart" uri="{C3380CC4-5D6E-409C-BE32-E72D297353CC}">
              <c16:uniqueId val="{00000001-8F86-4EA1-84CD-A70712EE80DC}"/>
            </c:ext>
          </c:extLst>
        </c:ser>
        <c:ser>
          <c:idx val="2"/>
          <c:order val="2"/>
          <c:tx>
            <c:strRef>
              <c:f>营运能力!$C$180</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营运能力!$D$180:$M$180</c:f>
              <c:numCache>
                <c:formatCode>0.00_ </c:formatCode>
                <c:ptCount val="10"/>
                <c:pt idx="0">
                  <c:v>116.07978049714576</c:v>
                </c:pt>
                <c:pt idx="1">
                  <c:v>108.55427207685857</c:v>
                </c:pt>
                <c:pt idx="2">
                  <c:v>115.82846785805735</c:v>
                </c:pt>
                <c:pt idx="3">
                  <c:v>129.74570081816455</c:v>
                </c:pt>
                <c:pt idx="4">
                  <c:v>136.34050841921371</c:v>
                </c:pt>
                <c:pt idx="5">
                  <c:v>150.09697736267549</c:v>
                </c:pt>
                <c:pt idx="6">
                  <c:v>173.27958223138722</c:v>
                </c:pt>
                <c:pt idx="7">
                  <c:v>179.26689684894149</c:v>
                </c:pt>
                <c:pt idx="8">
                  <c:v>172.43011609131329</c:v>
                </c:pt>
                <c:pt idx="9">
                  <c:v>172.8818120261098</c:v>
                </c:pt>
              </c:numCache>
            </c:numRef>
          </c:val>
          <c:smooth val="0"/>
          <c:extLst>
            <c:ext xmlns:c16="http://schemas.microsoft.com/office/drawing/2014/chart" uri="{C3380CC4-5D6E-409C-BE32-E72D297353CC}">
              <c16:uniqueId val="{00000002-8F86-4EA1-84CD-A70712EE80DC}"/>
            </c:ext>
          </c:extLst>
        </c:ser>
        <c:dLbls>
          <c:showLegendKey val="0"/>
          <c:showVal val="0"/>
          <c:showCatName val="0"/>
          <c:showSerName val="0"/>
          <c:showPercent val="0"/>
          <c:showBubbleSize val="0"/>
        </c:dLbls>
        <c:smooth val="0"/>
        <c:axId val="915346480"/>
        <c:axId val="915347040"/>
      </c:lineChart>
      <c:catAx>
        <c:axId val="91534648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347040"/>
        <c:crosses val="autoZero"/>
        <c:auto val="0"/>
        <c:lblAlgn val="ctr"/>
        <c:lblOffset val="100"/>
        <c:noMultiLvlLbl val="0"/>
      </c:catAx>
      <c:valAx>
        <c:axId val="91534704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346480"/>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存货周转天数</a:t>
            </a:r>
            <a:endParaRPr lang="zh-CN"/>
          </a:p>
        </c:rich>
      </c:tx>
      <c:overlay val="0"/>
      <c:spPr>
        <a:noFill/>
        <a:ln>
          <a:noFill/>
        </a:ln>
        <a:effectLst/>
      </c:spPr>
    </c:title>
    <c:autoTitleDeleted val="0"/>
    <c:plotArea>
      <c:layout/>
      <c:lineChart>
        <c:grouping val="standard"/>
        <c:varyColors val="0"/>
        <c:ser>
          <c:idx val="0"/>
          <c:order val="0"/>
          <c:tx>
            <c:strRef>
              <c:f>营运能力!$C$216</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营运能力!$D$216:$M$216</c:f>
              <c:numCache>
                <c:formatCode>0.00_ </c:formatCode>
                <c:ptCount val="10"/>
                <c:pt idx="0">
                  <c:v>1383.4691485847079</c:v>
                </c:pt>
                <c:pt idx="1">
                  <c:v>1669.5738529344351</c:v>
                </c:pt>
                <c:pt idx="2">
                  <c:v>1480.7720111740989</c:v>
                </c:pt>
                <c:pt idx="3">
                  <c:v>1483.8832497396161</c:v>
                </c:pt>
                <c:pt idx="4">
                  <c:v>1764.1738379208309</c:v>
                </c:pt>
                <c:pt idx="5">
                  <c:v>2064.2921170592881</c:v>
                </c:pt>
                <c:pt idx="6">
                  <c:v>2339.8067315603562</c:v>
                </c:pt>
                <c:pt idx="7">
                  <c:v>2039.350887053371</c:v>
                </c:pt>
                <c:pt idx="8">
                  <c:v>1293.2302435925219</c:v>
                </c:pt>
                <c:pt idx="9">
                  <c:v>1257.3503114685111</c:v>
                </c:pt>
              </c:numCache>
            </c:numRef>
          </c:val>
          <c:smooth val="0"/>
          <c:extLst>
            <c:ext xmlns:c16="http://schemas.microsoft.com/office/drawing/2014/chart" uri="{C3380CC4-5D6E-409C-BE32-E72D297353CC}">
              <c16:uniqueId val="{00000000-FB65-4861-82C7-C79402745DA2}"/>
            </c:ext>
          </c:extLst>
        </c:ser>
        <c:ser>
          <c:idx val="1"/>
          <c:order val="1"/>
          <c:tx>
            <c:strRef>
              <c:f>营运能力!$C$217</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营运能力!$D$217:$M$217</c:f>
              <c:numCache>
                <c:formatCode>0.00_ </c:formatCode>
                <c:ptCount val="10"/>
                <c:pt idx="0">
                  <c:v>219.29040519231745</c:v>
                </c:pt>
                <c:pt idx="1">
                  <c:v>220.15005321478205</c:v>
                </c:pt>
                <c:pt idx="2">
                  <c:v>232.05006962818896</c:v>
                </c:pt>
                <c:pt idx="3">
                  <c:v>260.57943203351658</c:v>
                </c:pt>
                <c:pt idx="4">
                  <c:v>301.35998018698677</c:v>
                </c:pt>
                <c:pt idx="5">
                  <c:v>337.14240729002523</c:v>
                </c:pt>
                <c:pt idx="6">
                  <c:v>362.12709655318935</c:v>
                </c:pt>
                <c:pt idx="7">
                  <c:v>381.45339140880634</c:v>
                </c:pt>
                <c:pt idx="8">
                  <c:v>370.61788308277056</c:v>
                </c:pt>
                <c:pt idx="9">
                  <c:v>345.45242299092934</c:v>
                </c:pt>
              </c:numCache>
            </c:numRef>
          </c:val>
          <c:smooth val="0"/>
          <c:extLst>
            <c:ext xmlns:c16="http://schemas.microsoft.com/office/drawing/2014/chart" uri="{C3380CC4-5D6E-409C-BE32-E72D297353CC}">
              <c16:uniqueId val="{00000001-FB65-4861-82C7-C79402745DA2}"/>
            </c:ext>
          </c:extLst>
        </c:ser>
        <c:ser>
          <c:idx val="2"/>
          <c:order val="2"/>
          <c:tx>
            <c:strRef>
              <c:f>营运能力!$C$218</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营运能力!$D$218:$M$218</c:f>
              <c:numCache>
                <c:formatCode>0.00_ </c:formatCode>
                <c:ptCount val="10"/>
                <c:pt idx="0">
                  <c:v>88.139446258212814</c:v>
                </c:pt>
                <c:pt idx="1">
                  <c:v>82.563449530252939</c:v>
                </c:pt>
                <c:pt idx="2">
                  <c:v>86.066705458643028</c:v>
                </c:pt>
                <c:pt idx="3">
                  <c:v>96.38933089109085</c:v>
                </c:pt>
                <c:pt idx="4">
                  <c:v>103.0432970671165</c:v>
                </c:pt>
                <c:pt idx="5">
                  <c:v>112.58988083067113</c:v>
                </c:pt>
                <c:pt idx="6">
                  <c:v>129.79101198138309</c:v>
                </c:pt>
                <c:pt idx="7">
                  <c:v>133.59249253022944</c:v>
                </c:pt>
                <c:pt idx="8">
                  <c:v>128.09647095584324</c:v>
                </c:pt>
                <c:pt idx="9">
                  <c:v>129.26442309483571</c:v>
                </c:pt>
              </c:numCache>
            </c:numRef>
          </c:val>
          <c:smooth val="0"/>
          <c:extLst>
            <c:ext xmlns:c16="http://schemas.microsoft.com/office/drawing/2014/chart" uri="{C3380CC4-5D6E-409C-BE32-E72D297353CC}">
              <c16:uniqueId val="{00000002-FB65-4861-82C7-C79402745DA2}"/>
            </c:ext>
          </c:extLst>
        </c:ser>
        <c:dLbls>
          <c:showLegendKey val="0"/>
          <c:showVal val="0"/>
          <c:showCatName val="0"/>
          <c:showSerName val="0"/>
          <c:showPercent val="0"/>
          <c:showBubbleSize val="0"/>
        </c:dLbls>
        <c:smooth val="0"/>
        <c:axId val="909207600"/>
        <c:axId val="909208160"/>
      </c:lineChart>
      <c:catAx>
        <c:axId val="90920760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08160"/>
        <c:crosses val="autoZero"/>
        <c:auto val="0"/>
        <c:lblAlgn val="ctr"/>
        <c:lblOffset val="100"/>
        <c:noMultiLvlLbl val="0"/>
      </c:catAx>
      <c:valAx>
        <c:axId val="90920816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07600"/>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应收账款周转天数</a:t>
            </a:r>
            <a:endParaRPr lang="zh-CN"/>
          </a:p>
        </c:rich>
      </c:tx>
      <c:layout>
        <c:manualLayout>
          <c:xMode val="edge"/>
          <c:yMode val="edge"/>
          <c:x val="0.45318600368324125"/>
          <c:y val="2.3255813953488372E-2"/>
        </c:manualLayout>
      </c:layout>
      <c:overlay val="0"/>
      <c:spPr>
        <a:noFill/>
        <a:ln>
          <a:noFill/>
        </a:ln>
        <a:effectLst/>
      </c:spPr>
    </c:title>
    <c:autoTitleDeleted val="0"/>
    <c:plotArea>
      <c:layout/>
      <c:lineChart>
        <c:grouping val="standard"/>
        <c:varyColors val="0"/>
        <c:ser>
          <c:idx val="0"/>
          <c:order val="0"/>
          <c:tx>
            <c:strRef>
              <c:f>营运能力!$C$254</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营运能力!$D$254:$M$254</c:f>
              <c:numCache>
                <c:formatCode>0.00_ </c:formatCode>
                <c:ptCount val="10"/>
                <c:pt idx="0">
                  <c:v>11.309739897394</c:v>
                </c:pt>
                <c:pt idx="1">
                  <c:v>9.4107748243150002</c:v>
                </c:pt>
                <c:pt idx="2">
                  <c:v>4.5032631925139999</c:v>
                </c:pt>
                <c:pt idx="3">
                  <c:v>3.2401906790330002</c:v>
                </c:pt>
                <c:pt idx="4">
                  <c:v>3.0206367267699998</c:v>
                </c:pt>
                <c:pt idx="5">
                  <c:v>12.252136469357</c:v>
                </c:pt>
                <c:pt idx="6">
                  <c:v>57.491117696247002</c:v>
                </c:pt>
                <c:pt idx="7">
                  <c:v>43.523610039886002</c:v>
                </c:pt>
                <c:pt idx="8">
                  <c:v>6.3052810545389999</c:v>
                </c:pt>
                <c:pt idx="9">
                  <c:v>4.3642742535019998</c:v>
                </c:pt>
              </c:numCache>
            </c:numRef>
          </c:val>
          <c:smooth val="0"/>
          <c:extLst>
            <c:ext xmlns:c16="http://schemas.microsoft.com/office/drawing/2014/chart" uri="{C3380CC4-5D6E-409C-BE32-E72D297353CC}">
              <c16:uniqueId val="{00000000-2AE0-4FE5-ACA0-50ED5599825D}"/>
            </c:ext>
          </c:extLst>
        </c:ser>
        <c:ser>
          <c:idx val="1"/>
          <c:order val="1"/>
          <c:tx>
            <c:strRef>
              <c:f>营运能力!$C$255</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营运能力!$D$255:$M$255</c:f>
              <c:numCache>
                <c:formatCode>0.00_ </c:formatCode>
                <c:ptCount val="10"/>
                <c:pt idx="0">
                  <c:v>8.3712073769792941</c:v>
                </c:pt>
                <c:pt idx="1">
                  <c:v>7.1584060230638933</c:v>
                </c:pt>
                <c:pt idx="2">
                  <c:v>5.5449084596639704</c:v>
                </c:pt>
                <c:pt idx="3">
                  <c:v>5.1906489779523062</c:v>
                </c:pt>
                <c:pt idx="4">
                  <c:v>5.4617108617812269</c:v>
                </c:pt>
                <c:pt idx="5">
                  <c:v>5.3049624627546699</c:v>
                </c:pt>
                <c:pt idx="6">
                  <c:v>4.9208359325443878</c:v>
                </c:pt>
                <c:pt idx="7">
                  <c:v>5.4765625859968923</c:v>
                </c:pt>
                <c:pt idx="8">
                  <c:v>4.9703648380769598</c:v>
                </c:pt>
                <c:pt idx="9">
                  <c:v>4.8101231233781956</c:v>
                </c:pt>
              </c:numCache>
            </c:numRef>
          </c:val>
          <c:smooth val="0"/>
          <c:extLst>
            <c:ext xmlns:c16="http://schemas.microsoft.com/office/drawing/2014/chart" uri="{C3380CC4-5D6E-409C-BE32-E72D297353CC}">
              <c16:uniqueId val="{00000001-2AE0-4FE5-ACA0-50ED5599825D}"/>
            </c:ext>
          </c:extLst>
        </c:ser>
        <c:ser>
          <c:idx val="2"/>
          <c:order val="2"/>
          <c:tx>
            <c:strRef>
              <c:f>营运能力!$C$256</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营运能力!$D$256:$M$256</c:f>
              <c:numCache>
                <c:formatCode>0.00_ </c:formatCode>
                <c:ptCount val="10"/>
                <c:pt idx="0">
                  <c:v>27.940334238932945</c:v>
                </c:pt>
                <c:pt idx="1">
                  <c:v>25.990822546605624</c:v>
                </c:pt>
                <c:pt idx="2">
                  <c:v>29.761762399414323</c:v>
                </c:pt>
                <c:pt idx="3">
                  <c:v>33.356369927073693</c:v>
                </c:pt>
                <c:pt idx="4">
                  <c:v>33.2972113520972</c:v>
                </c:pt>
                <c:pt idx="5">
                  <c:v>37.507096532004354</c:v>
                </c:pt>
                <c:pt idx="6">
                  <c:v>43.488570250004145</c:v>
                </c:pt>
                <c:pt idx="7">
                  <c:v>45.674404318712035</c:v>
                </c:pt>
                <c:pt idx="8">
                  <c:v>44.333645135470057</c:v>
                </c:pt>
                <c:pt idx="9">
                  <c:v>43.617388931274085</c:v>
                </c:pt>
              </c:numCache>
            </c:numRef>
          </c:val>
          <c:smooth val="0"/>
          <c:extLst>
            <c:ext xmlns:c16="http://schemas.microsoft.com/office/drawing/2014/chart" uri="{C3380CC4-5D6E-409C-BE32-E72D297353CC}">
              <c16:uniqueId val="{00000002-2AE0-4FE5-ACA0-50ED5599825D}"/>
            </c:ext>
          </c:extLst>
        </c:ser>
        <c:dLbls>
          <c:showLegendKey val="0"/>
          <c:showVal val="0"/>
          <c:showCatName val="0"/>
          <c:showSerName val="0"/>
          <c:showPercent val="0"/>
          <c:showBubbleSize val="0"/>
        </c:dLbls>
        <c:smooth val="0"/>
        <c:axId val="915805296"/>
        <c:axId val="915805856"/>
      </c:lineChart>
      <c:catAx>
        <c:axId val="915805296"/>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05856"/>
        <c:crosses val="autoZero"/>
        <c:auto val="0"/>
        <c:lblAlgn val="ctr"/>
        <c:lblOffset val="100"/>
        <c:noMultiLvlLbl val="0"/>
      </c:catAx>
      <c:valAx>
        <c:axId val="915805856"/>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05296"/>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应付账款周转天数</a:t>
            </a:r>
            <a:endParaRPr lang="zh-CN"/>
          </a:p>
        </c:rich>
      </c:tx>
      <c:overlay val="0"/>
      <c:spPr>
        <a:noFill/>
        <a:ln>
          <a:noFill/>
        </a:ln>
        <a:effectLst/>
      </c:spPr>
    </c:title>
    <c:autoTitleDeleted val="0"/>
    <c:plotArea>
      <c:layout/>
      <c:lineChart>
        <c:grouping val="standard"/>
        <c:varyColors val="0"/>
        <c:ser>
          <c:idx val="0"/>
          <c:order val="0"/>
          <c:tx>
            <c:strRef>
              <c:f>营运能力!$C$254</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营运能力!$D$254:$M$254</c:f>
              <c:numCache>
                <c:formatCode>0.00_ </c:formatCode>
                <c:ptCount val="10"/>
                <c:pt idx="0">
                  <c:v>11.309739897394</c:v>
                </c:pt>
                <c:pt idx="1">
                  <c:v>9.4107748243150002</c:v>
                </c:pt>
                <c:pt idx="2">
                  <c:v>4.5032631925139999</c:v>
                </c:pt>
                <c:pt idx="3">
                  <c:v>3.2401906790330002</c:v>
                </c:pt>
                <c:pt idx="4">
                  <c:v>3.0206367267699998</c:v>
                </c:pt>
                <c:pt idx="5">
                  <c:v>12.252136469357</c:v>
                </c:pt>
                <c:pt idx="6">
                  <c:v>57.491117696247002</c:v>
                </c:pt>
                <c:pt idx="7">
                  <c:v>43.523610039886002</c:v>
                </c:pt>
                <c:pt idx="8">
                  <c:v>6.3052810545389999</c:v>
                </c:pt>
                <c:pt idx="9">
                  <c:v>4.3642742535019998</c:v>
                </c:pt>
              </c:numCache>
            </c:numRef>
          </c:val>
          <c:smooth val="0"/>
          <c:extLst>
            <c:ext xmlns:c16="http://schemas.microsoft.com/office/drawing/2014/chart" uri="{C3380CC4-5D6E-409C-BE32-E72D297353CC}">
              <c16:uniqueId val="{00000000-DB23-4CAF-8B3A-FEC03EF9F119}"/>
            </c:ext>
          </c:extLst>
        </c:ser>
        <c:ser>
          <c:idx val="1"/>
          <c:order val="1"/>
          <c:tx>
            <c:strRef>
              <c:f>营运能力!$C$255</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营运能力!$D$255:$M$255</c:f>
              <c:numCache>
                <c:formatCode>0.00_ </c:formatCode>
                <c:ptCount val="10"/>
                <c:pt idx="0">
                  <c:v>8.3712073769792941</c:v>
                </c:pt>
                <c:pt idx="1">
                  <c:v>7.1584060230638933</c:v>
                </c:pt>
                <c:pt idx="2">
                  <c:v>5.5449084596639704</c:v>
                </c:pt>
                <c:pt idx="3">
                  <c:v>5.1906489779523062</c:v>
                </c:pt>
                <c:pt idx="4">
                  <c:v>5.4617108617812269</c:v>
                </c:pt>
                <c:pt idx="5">
                  <c:v>5.3049624627546699</c:v>
                </c:pt>
                <c:pt idx="6">
                  <c:v>4.9208359325443878</c:v>
                </c:pt>
                <c:pt idx="7">
                  <c:v>5.4765625859968923</c:v>
                </c:pt>
                <c:pt idx="8">
                  <c:v>4.9703648380769598</c:v>
                </c:pt>
                <c:pt idx="9">
                  <c:v>4.8101231233781956</c:v>
                </c:pt>
              </c:numCache>
            </c:numRef>
          </c:val>
          <c:smooth val="0"/>
          <c:extLst>
            <c:ext xmlns:c16="http://schemas.microsoft.com/office/drawing/2014/chart" uri="{C3380CC4-5D6E-409C-BE32-E72D297353CC}">
              <c16:uniqueId val="{00000001-DB23-4CAF-8B3A-FEC03EF9F119}"/>
            </c:ext>
          </c:extLst>
        </c:ser>
        <c:ser>
          <c:idx val="2"/>
          <c:order val="2"/>
          <c:tx>
            <c:strRef>
              <c:f>营运能力!$C$256</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营运能力!$D$22:$M$22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营运能力!$D$256:$M$256</c:f>
              <c:numCache>
                <c:formatCode>0.00_ </c:formatCode>
                <c:ptCount val="10"/>
                <c:pt idx="0">
                  <c:v>27.940334238932945</c:v>
                </c:pt>
                <c:pt idx="1">
                  <c:v>25.990822546605624</c:v>
                </c:pt>
                <c:pt idx="2">
                  <c:v>29.761762399414323</c:v>
                </c:pt>
                <c:pt idx="3">
                  <c:v>33.356369927073693</c:v>
                </c:pt>
                <c:pt idx="4">
                  <c:v>33.2972113520972</c:v>
                </c:pt>
                <c:pt idx="5">
                  <c:v>37.507096532004354</c:v>
                </c:pt>
                <c:pt idx="6">
                  <c:v>43.488570250004145</c:v>
                </c:pt>
                <c:pt idx="7">
                  <c:v>45.674404318712035</c:v>
                </c:pt>
                <c:pt idx="8">
                  <c:v>44.333645135470057</c:v>
                </c:pt>
                <c:pt idx="9">
                  <c:v>43.617388931274085</c:v>
                </c:pt>
              </c:numCache>
            </c:numRef>
          </c:val>
          <c:smooth val="0"/>
          <c:extLst>
            <c:ext xmlns:c16="http://schemas.microsoft.com/office/drawing/2014/chart" uri="{C3380CC4-5D6E-409C-BE32-E72D297353CC}">
              <c16:uniqueId val="{00000002-DB23-4CAF-8B3A-FEC03EF9F119}"/>
            </c:ext>
          </c:extLst>
        </c:ser>
        <c:dLbls>
          <c:showLegendKey val="0"/>
          <c:showVal val="0"/>
          <c:showCatName val="0"/>
          <c:showSerName val="0"/>
          <c:showPercent val="0"/>
          <c:showBubbleSize val="0"/>
        </c:dLbls>
        <c:smooth val="0"/>
        <c:axId val="987755760"/>
        <c:axId val="987756320"/>
      </c:lineChart>
      <c:catAx>
        <c:axId val="98775576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756320"/>
        <c:crosses val="autoZero"/>
        <c:auto val="0"/>
        <c:lblAlgn val="ctr"/>
        <c:lblOffset val="100"/>
        <c:noMultiLvlLbl val="0"/>
      </c:catAx>
      <c:valAx>
        <c:axId val="98775632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755760"/>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销售毛利率</a:t>
            </a:r>
            <a:endParaRPr lang="zh-CN"/>
          </a:p>
        </c:rich>
      </c:tx>
      <c:overlay val="0"/>
      <c:spPr>
        <a:noFill/>
        <a:ln>
          <a:noFill/>
        </a:ln>
        <a:effectLst/>
      </c:spPr>
    </c:title>
    <c:autoTitleDeleted val="0"/>
    <c:plotArea>
      <c:layout/>
      <c:lineChart>
        <c:grouping val="standard"/>
        <c:varyColors val="0"/>
        <c:ser>
          <c:idx val="0"/>
          <c:order val="0"/>
          <c:tx>
            <c:strRef>
              <c:f>盈利能力!$C$23</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盈利能力!$D$23:$M$23</c:f>
              <c:numCache>
                <c:formatCode>0.00_ </c:formatCode>
                <c:ptCount val="10"/>
                <c:pt idx="0">
                  <c:v>90.168842325200004</c:v>
                </c:pt>
                <c:pt idx="1">
                  <c:v>90.948973521799999</c:v>
                </c:pt>
                <c:pt idx="2">
                  <c:v>91.570459549399999</c:v>
                </c:pt>
                <c:pt idx="3">
                  <c:v>92.272611717299995</c:v>
                </c:pt>
                <c:pt idx="4">
                  <c:v>92.904940156899997</c:v>
                </c:pt>
                <c:pt idx="5">
                  <c:v>92.593412853100006</c:v>
                </c:pt>
                <c:pt idx="6">
                  <c:v>92.227894052699995</c:v>
                </c:pt>
                <c:pt idx="7">
                  <c:v>91.225136600599996</c:v>
                </c:pt>
                <c:pt idx="8">
                  <c:v>89.796196153799997</c:v>
                </c:pt>
                <c:pt idx="9">
                  <c:v>91.142012876799996</c:v>
                </c:pt>
              </c:numCache>
            </c:numRef>
          </c:val>
          <c:smooth val="0"/>
          <c:extLst>
            <c:ext xmlns:c16="http://schemas.microsoft.com/office/drawing/2014/chart" uri="{C3380CC4-5D6E-409C-BE32-E72D297353CC}">
              <c16:uniqueId val="{00000000-8C58-4A78-904B-1B360515EEA7}"/>
            </c:ext>
          </c:extLst>
        </c:ser>
        <c:ser>
          <c:idx val="1"/>
          <c:order val="1"/>
          <c:tx>
            <c:strRef>
              <c:f>盈利能力!$C$24</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盈利能力!$D$24:$M$24</c:f>
              <c:numCache>
                <c:formatCode>0.00_ </c:formatCode>
                <c:ptCount val="10"/>
                <c:pt idx="0">
                  <c:v>51.43034696098286</c:v>
                </c:pt>
                <c:pt idx="1">
                  <c:v>53.680692740111859</c:v>
                </c:pt>
                <c:pt idx="2">
                  <c:v>56.578112831003779</c:v>
                </c:pt>
                <c:pt idx="3">
                  <c:v>59.194599229688457</c:v>
                </c:pt>
                <c:pt idx="4">
                  <c:v>58.061181894657608</c:v>
                </c:pt>
                <c:pt idx="5">
                  <c:v>57.391734374482432</c:v>
                </c:pt>
                <c:pt idx="6">
                  <c:v>57.901881816528068</c:v>
                </c:pt>
                <c:pt idx="7">
                  <c:v>60.545672996789328</c:v>
                </c:pt>
                <c:pt idx="8">
                  <c:v>63.389409057607153</c:v>
                </c:pt>
                <c:pt idx="9">
                  <c:v>64.914993420828367</c:v>
                </c:pt>
              </c:numCache>
            </c:numRef>
          </c:val>
          <c:smooth val="0"/>
          <c:extLst>
            <c:ext xmlns:c16="http://schemas.microsoft.com/office/drawing/2014/chart" uri="{C3380CC4-5D6E-409C-BE32-E72D297353CC}">
              <c16:uniqueId val="{00000001-8C58-4A78-904B-1B360515EEA7}"/>
            </c:ext>
          </c:extLst>
        </c:ser>
        <c:ser>
          <c:idx val="2"/>
          <c:order val="2"/>
          <c:tx>
            <c:strRef>
              <c:f>盈利能力!$C$25</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盈利能力!$D$25:$M$25</c:f>
              <c:numCache>
                <c:formatCode>0.00_ </c:formatCode>
                <c:ptCount val="10"/>
                <c:pt idx="0">
                  <c:v>20.473326036953811</c:v>
                </c:pt>
                <c:pt idx="1">
                  <c:v>19.942702008930947</c:v>
                </c:pt>
                <c:pt idx="2">
                  <c:v>19.002141904403747</c:v>
                </c:pt>
                <c:pt idx="3">
                  <c:v>18.320379725784054</c:v>
                </c:pt>
                <c:pt idx="4">
                  <c:v>18.389600368780211</c:v>
                </c:pt>
                <c:pt idx="5">
                  <c:v>18.88285026323927</c:v>
                </c:pt>
                <c:pt idx="6">
                  <c:v>19.640946150823304</c:v>
                </c:pt>
                <c:pt idx="7">
                  <c:v>19.951671054783628</c:v>
                </c:pt>
                <c:pt idx="8">
                  <c:v>19.761373954325901</c:v>
                </c:pt>
                <c:pt idx="9">
                  <c:v>19.929513784003795</c:v>
                </c:pt>
              </c:numCache>
            </c:numRef>
          </c:val>
          <c:smooth val="0"/>
          <c:extLst>
            <c:ext xmlns:c16="http://schemas.microsoft.com/office/drawing/2014/chart" uri="{C3380CC4-5D6E-409C-BE32-E72D297353CC}">
              <c16:uniqueId val="{00000002-8C58-4A78-904B-1B360515EEA7}"/>
            </c:ext>
          </c:extLst>
        </c:ser>
        <c:dLbls>
          <c:showLegendKey val="0"/>
          <c:showVal val="0"/>
          <c:showCatName val="0"/>
          <c:showSerName val="0"/>
          <c:showPercent val="0"/>
          <c:showBubbleSize val="0"/>
        </c:dLbls>
        <c:smooth val="0"/>
        <c:axId val="916024064"/>
        <c:axId val="916024624"/>
      </c:lineChart>
      <c:catAx>
        <c:axId val="91602406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024624"/>
        <c:crosses val="autoZero"/>
        <c:auto val="0"/>
        <c:lblAlgn val="ctr"/>
        <c:lblOffset val="100"/>
        <c:noMultiLvlLbl val="0"/>
      </c:catAx>
      <c:valAx>
        <c:axId val="91602462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02406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净资产收益率</a:t>
            </a:r>
            <a:endParaRPr lang="zh-CN"/>
          </a:p>
        </c:rich>
      </c:tx>
      <c:overlay val="0"/>
      <c:spPr>
        <a:noFill/>
        <a:ln>
          <a:noFill/>
        </a:ln>
        <a:effectLst/>
      </c:spPr>
    </c:title>
    <c:autoTitleDeleted val="0"/>
    <c:plotArea>
      <c:layout/>
      <c:lineChart>
        <c:grouping val="standard"/>
        <c:varyColors val="0"/>
        <c:ser>
          <c:idx val="0"/>
          <c:order val="0"/>
          <c:tx>
            <c:strRef>
              <c:f>盈利能力!$C$61</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盈利能力!$D$61:$M$61</c:f>
              <c:numCache>
                <c:formatCode>0.00_ </c:formatCode>
                <c:ptCount val="10"/>
                <c:pt idx="0">
                  <c:v>33.546118064399998</c:v>
                </c:pt>
                <c:pt idx="1">
                  <c:v>30.7392763201</c:v>
                </c:pt>
                <c:pt idx="2">
                  <c:v>40.3925106895</c:v>
                </c:pt>
                <c:pt idx="3">
                  <c:v>45.004707209800003</c:v>
                </c:pt>
                <c:pt idx="4">
                  <c:v>39.432775738799997</c:v>
                </c:pt>
                <c:pt idx="5">
                  <c:v>31.961240604699999</c:v>
                </c:pt>
                <c:pt idx="6">
                  <c:v>26.420532329699999</c:v>
                </c:pt>
                <c:pt idx="7">
                  <c:v>24.438457144699999</c:v>
                </c:pt>
                <c:pt idx="8">
                  <c:v>32.954153039200001</c:v>
                </c:pt>
                <c:pt idx="9">
                  <c:v>34.4643499373</c:v>
                </c:pt>
              </c:numCache>
            </c:numRef>
          </c:val>
          <c:smooth val="0"/>
          <c:extLst>
            <c:ext xmlns:c16="http://schemas.microsoft.com/office/drawing/2014/chart" uri="{C3380CC4-5D6E-409C-BE32-E72D297353CC}">
              <c16:uniqueId val="{00000000-5DC5-423F-A248-C250FA511689}"/>
            </c:ext>
          </c:extLst>
        </c:ser>
        <c:ser>
          <c:idx val="1"/>
          <c:order val="1"/>
          <c:tx>
            <c:strRef>
              <c:f>盈利能力!$C$62</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盈利能力!$D$62:$M$62</c:f>
              <c:numCache>
                <c:formatCode>0.00_ </c:formatCode>
                <c:ptCount val="10"/>
                <c:pt idx="0">
                  <c:v>20.755976730417139</c:v>
                </c:pt>
                <c:pt idx="1">
                  <c:v>22.42464457296208</c:v>
                </c:pt>
                <c:pt idx="2">
                  <c:v>26.33707157372767</c:v>
                </c:pt>
                <c:pt idx="3">
                  <c:v>30.293354615301951</c:v>
                </c:pt>
                <c:pt idx="4">
                  <c:v>22.676521623329368</c:v>
                </c:pt>
                <c:pt idx="5">
                  <c:v>17.670423001929343</c:v>
                </c:pt>
                <c:pt idx="6">
                  <c:v>16.99776761467956</c:v>
                </c:pt>
                <c:pt idx="7">
                  <c:v>16.311234109502276</c:v>
                </c:pt>
                <c:pt idx="8">
                  <c:v>19.549770520208945</c:v>
                </c:pt>
                <c:pt idx="9">
                  <c:v>21.98894378589673</c:v>
                </c:pt>
              </c:numCache>
            </c:numRef>
          </c:val>
          <c:smooth val="0"/>
          <c:extLst>
            <c:ext xmlns:c16="http://schemas.microsoft.com/office/drawing/2014/chart" uri="{C3380CC4-5D6E-409C-BE32-E72D297353CC}">
              <c16:uniqueId val="{00000001-5DC5-423F-A248-C250FA511689}"/>
            </c:ext>
          </c:extLst>
        </c:ser>
        <c:ser>
          <c:idx val="2"/>
          <c:order val="2"/>
          <c:tx>
            <c:strRef>
              <c:f>盈利能力!$C$63</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盈利能力!$D$63:$M$63</c:f>
              <c:numCache>
                <c:formatCode>0.00_ </c:formatCode>
                <c:ptCount val="10"/>
                <c:pt idx="0">
                  <c:v>14.644327188227541</c:v>
                </c:pt>
                <c:pt idx="1">
                  <c:v>16.482573246428359</c:v>
                </c:pt>
                <c:pt idx="2">
                  <c:v>15.388303156571929</c:v>
                </c:pt>
                <c:pt idx="3">
                  <c:v>13.640089902343018</c:v>
                </c:pt>
                <c:pt idx="4">
                  <c:v>13.883479046690432</c:v>
                </c:pt>
                <c:pt idx="5">
                  <c:v>13.099402790907924</c:v>
                </c:pt>
                <c:pt idx="6">
                  <c:v>11.46029873549104</c:v>
                </c:pt>
                <c:pt idx="7">
                  <c:v>10.538445419023271</c:v>
                </c:pt>
                <c:pt idx="8">
                  <c:v>11.018362319157999</c:v>
                </c:pt>
                <c:pt idx="9">
                  <c:v>9.8420944557815666</c:v>
                </c:pt>
              </c:numCache>
            </c:numRef>
          </c:val>
          <c:smooth val="0"/>
          <c:extLst>
            <c:ext xmlns:c16="http://schemas.microsoft.com/office/drawing/2014/chart" uri="{C3380CC4-5D6E-409C-BE32-E72D297353CC}">
              <c16:uniqueId val="{00000002-5DC5-423F-A248-C250FA511689}"/>
            </c:ext>
          </c:extLst>
        </c:ser>
        <c:dLbls>
          <c:showLegendKey val="0"/>
          <c:showVal val="0"/>
          <c:showCatName val="0"/>
          <c:showSerName val="0"/>
          <c:showPercent val="0"/>
          <c:showBubbleSize val="0"/>
        </c:dLbls>
        <c:smooth val="0"/>
        <c:axId val="909642608"/>
        <c:axId val="909643168"/>
      </c:lineChart>
      <c:catAx>
        <c:axId val="90964260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3168"/>
        <c:crosses val="autoZero"/>
        <c:auto val="0"/>
        <c:lblAlgn val="ctr"/>
        <c:lblOffset val="100"/>
        <c:noMultiLvlLbl val="0"/>
      </c:catAx>
      <c:valAx>
        <c:axId val="909643168"/>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2608"/>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销售净利率</a:t>
            </a:r>
            <a:endParaRPr lang="zh-CN"/>
          </a:p>
        </c:rich>
      </c:tx>
      <c:overlay val="0"/>
      <c:spPr>
        <a:noFill/>
        <a:ln>
          <a:noFill/>
        </a:ln>
        <a:effectLst/>
      </c:spPr>
    </c:title>
    <c:autoTitleDeleted val="0"/>
    <c:plotArea>
      <c:layout/>
      <c:lineChart>
        <c:grouping val="standard"/>
        <c:varyColors val="0"/>
        <c:ser>
          <c:idx val="0"/>
          <c:order val="0"/>
          <c:tx>
            <c:strRef>
              <c:f>盈利能力!$C$99</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盈利能力!$D$99:$M$99</c:f>
              <c:numCache>
                <c:formatCode>0.00_ </c:formatCode>
                <c:ptCount val="10"/>
                <c:pt idx="0">
                  <c:v>47.082620310599999</c:v>
                </c:pt>
                <c:pt idx="1">
                  <c:v>45.900724302999997</c:v>
                </c:pt>
                <c:pt idx="2">
                  <c:v>50.267064750199999</c:v>
                </c:pt>
                <c:pt idx="3">
                  <c:v>52.951325776700003</c:v>
                </c:pt>
                <c:pt idx="4">
                  <c:v>51.629915468299998</c:v>
                </c:pt>
                <c:pt idx="5">
                  <c:v>51.527865763999998</c:v>
                </c:pt>
                <c:pt idx="6">
                  <c:v>50.383363008000003</c:v>
                </c:pt>
                <c:pt idx="7">
                  <c:v>46.139044435499997</c:v>
                </c:pt>
                <c:pt idx="8">
                  <c:v>49.823924447300001</c:v>
                </c:pt>
                <c:pt idx="9">
                  <c:v>51.371804768399997</c:v>
                </c:pt>
              </c:numCache>
            </c:numRef>
          </c:val>
          <c:smooth val="0"/>
          <c:extLst>
            <c:ext xmlns:c16="http://schemas.microsoft.com/office/drawing/2014/chart" uri="{C3380CC4-5D6E-409C-BE32-E72D297353CC}">
              <c16:uniqueId val="{00000000-7AFB-4D4D-AC44-4D62B7D06B0A}"/>
            </c:ext>
          </c:extLst>
        </c:ser>
        <c:ser>
          <c:idx val="1"/>
          <c:order val="1"/>
          <c:tx>
            <c:strRef>
              <c:f>盈利能力!$C$100</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盈利能力!$D$100:$M$100</c:f>
              <c:numCache>
                <c:formatCode>0.00_ </c:formatCode>
                <c:ptCount val="10"/>
                <c:pt idx="0">
                  <c:v>17.634588119435126</c:v>
                </c:pt>
                <c:pt idx="1">
                  <c:v>18.992449195000212</c:v>
                </c:pt>
                <c:pt idx="2">
                  <c:v>21.1441218646519</c:v>
                </c:pt>
                <c:pt idx="3">
                  <c:v>24.154214117047161</c:v>
                </c:pt>
                <c:pt idx="4">
                  <c:v>21.701103737513741</c:v>
                </c:pt>
                <c:pt idx="5">
                  <c:v>20.061772666679911</c:v>
                </c:pt>
                <c:pt idx="6">
                  <c:v>21.271585028378148</c:v>
                </c:pt>
                <c:pt idx="7">
                  <c:v>21.519344185990498</c:v>
                </c:pt>
                <c:pt idx="8">
                  <c:v>25.146466196924109</c:v>
                </c:pt>
                <c:pt idx="9">
                  <c:v>26.984411414204047</c:v>
                </c:pt>
              </c:numCache>
            </c:numRef>
          </c:val>
          <c:smooth val="0"/>
          <c:extLst>
            <c:ext xmlns:c16="http://schemas.microsoft.com/office/drawing/2014/chart" uri="{C3380CC4-5D6E-409C-BE32-E72D297353CC}">
              <c16:uniqueId val="{00000001-7AFB-4D4D-AC44-4D62B7D06B0A}"/>
            </c:ext>
          </c:extLst>
        </c:ser>
        <c:ser>
          <c:idx val="2"/>
          <c:order val="2"/>
          <c:tx>
            <c:strRef>
              <c:f>盈利能力!$C$101</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盈利能力!$D$101:$M$101</c:f>
              <c:numCache>
                <c:formatCode>0.00_ </c:formatCode>
                <c:ptCount val="10"/>
                <c:pt idx="0">
                  <c:v>9.8697691022163792</c:v>
                </c:pt>
                <c:pt idx="1">
                  <c:v>10.129068451224294</c:v>
                </c:pt>
                <c:pt idx="2">
                  <c:v>9.4396295306873146</c:v>
                </c:pt>
                <c:pt idx="3">
                  <c:v>8.7861209366310025</c:v>
                </c:pt>
                <c:pt idx="4">
                  <c:v>9.1829954844273889</c:v>
                </c:pt>
                <c:pt idx="5">
                  <c:v>9.2154937773665644</c:v>
                </c:pt>
                <c:pt idx="6">
                  <c:v>9.3167681151216062</c:v>
                </c:pt>
                <c:pt idx="7">
                  <c:v>9.2976095830134327</c:v>
                </c:pt>
                <c:pt idx="8">
                  <c:v>9.2757192579086798</c:v>
                </c:pt>
                <c:pt idx="9">
                  <c:v>8.2740501548067034</c:v>
                </c:pt>
              </c:numCache>
            </c:numRef>
          </c:val>
          <c:smooth val="0"/>
          <c:extLst>
            <c:ext xmlns:c16="http://schemas.microsoft.com/office/drawing/2014/chart" uri="{C3380CC4-5D6E-409C-BE32-E72D297353CC}">
              <c16:uniqueId val="{00000002-7AFB-4D4D-AC44-4D62B7D06B0A}"/>
            </c:ext>
          </c:extLst>
        </c:ser>
        <c:dLbls>
          <c:showLegendKey val="0"/>
          <c:showVal val="0"/>
          <c:showCatName val="0"/>
          <c:showSerName val="0"/>
          <c:showPercent val="0"/>
          <c:showBubbleSize val="0"/>
        </c:dLbls>
        <c:smooth val="0"/>
        <c:axId val="909647088"/>
        <c:axId val="909647648"/>
      </c:lineChart>
      <c:catAx>
        <c:axId val="90964708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7648"/>
        <c:crosses val="autoZero"/>
        <c:auto val="0"/>
        <c:lblAlgn val="ctr"/>
        <c:lblOffset val="100"/>
        <c:noMultiLvlLbl val="0"/>
      </c:catAx>
      <c:valAx>
        <c:axId val="909647648"/>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7088"/>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总资产周转率</a:t>
            </a:r>
            <a:endParaRPr lang="zh-CN"/>
          </a:p>
        </c:rich>
      </c:tx>
      <c:overlay val="0"/>
      <c:spPr>
        <a:noFill/>
        <a:ln>
          <a:noFill/>
        </a:ln>
        <a:effectLst/>
      </c:spPr>
    </c:title>
    <c:autoTitleDeleted val="0"/>
    <c:plotArea>
      <c:layout/>
      <c:lineChart>
        <c:grouping val="standard"/>
        <c:varyColors val="0"/>
        <c:ser>
          <c:idx val="0"/>
          <c:order val="0"/>
          <c:tx>
            <c:strRef>
              <c:f>盈利能力!$C$138</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盈利能力!$D$138:$M$138</c:f>
              <c:numCache>
                <c:formatCode>0.00_ </c:formatCode>
                <c:ptCount val="10"/>
                <c:pt idx="0">
                  <c:v>0.54442351749499995</c:v>
                </c:pt>
                <c:pt idx="1">
                  <c:v>0.51296301129999999</c:v>
                </c:pt>
                <c:pt idx="2">
                  <c:v>0.608458492061</c:v>
                </c:pt>
                <c:pt idx="3">
                  <c:v>0.66221878496599995</c:v>
                </c:pt>
                <c:pt idx="4">
                  <c:v>0.61861356640099996</c:v>
                </c:pt>
                <c:pt idx="5">
                  <c:v>0.531079312217</c:v>
                </c:pt>
                <c:pt idx="6">
                  <c:v>0.43958522314600001</c:v>
                </c:pt>
                <c:pt idx="7">
                  <c:v>0.40309064696800001</c:v>
                </c:pt>
                <c:pt idx="8">
                  <c:v>0.493347406978</c:v>
                </c:pt>
                <c:pt idx="9">
                  <c:v>0.52435118706399997</c:v>
                </c:pt>
              </c:numCache>
            </c:numRef>
          </c:val>
          <c:smooth val="0"/>
          <c:extLst>
            <c:ext xmlns:c16="http://schemas.microsoft.com/office/drawing/2014/chart" uri="{C3380CC4-5D6E-409C-BE32-E72D297353CC}">
              <c16:uniqueId val="{00000000-DF8C-4FE7-AD77-6120EAA78FE6}"/>
            </c:ext>
          </c:extLst>
        </c:ser>
        <c:ser>
          <c:idx val="1"/>
          <c:order val="1"/>
          <c:tx>
            <c:strRef>
              <c:f>盈利能力!$C$139</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盈利能力!$D$139:$M$139</c:f>
              <c:numCache>
                <c:formatCode>0.00_ </c:formatCode>
                <c:ptCount val="10"/>
                <c:pt idx="0">
                  <c:v>0.74643699652089113</c:v>
                </c:pt>
                <c:pt idx="1">
                  <c:v>0.73404174973833769</c:v>
                </c:pt>
                <c:pt idx="2">
                  <c:v>0.74958344980709313</c:v>
                </c:pt>
                <c:pt idx="3">
                  <c:v>0.75770047047215983</c:v>
                </c:pt>
                <c:pt idx="4">
                  <c:v>0.67441821109206535</c:v>
                </c:pt>
                <c:pt idx="5">
                  <c:v>0.60561350578072104</c:v>
                </c:pt>
                <c:pt idx="6">
                  <c:v>0.56029170538269557</c:v>
                </c:pt>
                <c:pt idx="7">
                  <c:v>0.52343571020623569</c:v>
                </c:pt>
                <c:pt idx="8">
                  <c:v>0.54066255926680806</c:v>
                </c:pt>
                <c:pt idx="9">
                  <c:v>0.57670389842761738</c:v>
                </c:pt>
              </c:numCache>
            </c:numRef>
          </c:val>
          <c:smooth val="0"/>
          <c:extLst>
            <c:ext xmlns:c16="http://schemas.microsoft.com/office/drawing/2014/chart" uri="{C3380CC4-5D6E-409C-BE32-E72D297353CC}">
              <c16:uniqueId val="{00000001-DF8C-4FE7-AD77-6120EAA78FE6}"/>
            </c:ext>
          </c:extLst>
        </c:ser>
        <c:ser>
          <c:idx val="2"/>
          <c:order val="2"/>
          <c:tx>
            <c:strRef>
              <c:f>盈利能力!$C$140</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盈利能力!$D$140:$M$140</c:f>
              <c:numCache>
                <c:formatCode>0.00_ </c:formatCode>
                <c:ptCount val="10"/>
                <c:pt idx="0">
                  <c:v>0.20067243437459595</c:v>
                </c:pt>
                <c:pt idx="1">
                  <c:v>0.22392367737638047</c:v>
                </c:pt>
                <c:pt idx="2">
                  <c:v>0.23088459359321034</c:v>
                </c:pt>
                <c:pt idx="3">
                  <c:v>0.21852550999031659</c:v>
                </c:pt>
                <c:pt idx="4">
                  <c:v>0.21238013179271539</c:v>
                </c:pt>
                <c:pt idx="5">
                  <c:v>0.2015269820804089</c:v>
                </c:pt>
                <c:pt idx="6">
                  <c:v>0.18153960814754702</c:v>
                </c:pt>
                <c:pt idx="7">
                  <c:v>0.17361331697682575</c:v>
                </c:pt>
                <c:pt idx="8">
                  <c:v>0.18560067141007283</c:v>
                </c:pt>
                <c:pt idx="9">
                  <c:v>0.19282208058194178</c:v>
                </c:pt>
              </c:numCache>
            </c:numRef>
          </c:val>
          <c:smooth val="0"/>
          <c:extLst>
            <c:ext xmlns:c16="http://schemas.microsoft.com/office/drawing/2014/chart" uri="{C3380CC4-5D6E-409C-BE32-E72D297353CC}">
              <c16:uniqueId val="{00000002-DF8C-4FE7-AD77-6120EAA78FE6}"/>
            </c:ext>
          </c:extLst>
        </c:ser>
        <c:dLbls>
          <c:showLegendKey val="0"/>
          <c:showVal val="0"/>
          <c:showCatName val="0"/>
          <c:showSerName val="0"/>
          <c:showPercent val="0"/>
          <c:showBubbleSize val="0"/>
        </c:dLbls>
        <c:smooth val="0"/>
        <c:axId val="915817024"/>
        <c:axId val="915817584"/>
      </c:lineChart>
      <c:catAx>
        <c:axId val="91581702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17584"/>
        <c:crosses val="autoZero"/>
        <c:auto val="0"/>
        <c:lblAlgn val="ctr"/>
        <c:lblOffset val="100"/>
        <c:noMultiLvlLbl val="0"/>
      </c:catAx>
      <c:valAx>
        <c:axId val="91581758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1702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每股收益</a:t>
            </a:r>
            <a:endParaRPr lang="zh-CN"/>
          </a:p>
        </c:rich>
      </c:tx>
      <c:overlay val="0"/>
      <c:spPr>
        <a:noFill/>
        <a:ln>
          <a:noFill/>
        </a:ln>
        <a:effectLst/>
      </c:spPr>
    </c:title>
    <c:autoTitleDeleted val="0"/>
    <c:plotArea>
      <c:layout/>
      <c:lineChart>
        <c:grouping val="standard"/>
        <c:varyColors val="0"/>
        <c:ser>
          <c:idx val="0"/>
          <c:order val="0"/>
          <c:tx>
            <c:strRef>
              <c:f>盈利能力!$C$178</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盈利能力!$D$178:$M$178</c:f>
              <c:numCache>
                <c:formatCode>0.00_ </c:formatCode>
                <c:ptCount val="10"/>
                <c:pt idx="0">
                  <c:v>4.57</c:v>
                </c:pt>
                <c:pt idx="1">
                  <c:v>5.35</c:v>
                </c:pt>
                <c:pt idx="2">
                  <c:v>8.44</c:v>
                </c:pt>
                <c:pt idx="3">
                  <c:v>12.82</c:v>
                </c:pt>
                <c:pt idx="4">
                  <c:v>14.58</c:v>
                </c:pt>
                <c:pt idx="5">
                  <c:v>13.44</c:v>
                </c:pt>
                <c:pt idx="6">
                  <c:v>12.34</c:v>
                </c:pt>
                <c:pt idx="7">
                  <c:v>13.31</c:v>
                </c:pt>
                <c:pt idx="8">
                  <c:v>21.56</c:v>
                </c:pt>
                <c:pt idx="9">
                  <c:v>28.02</c:v>
                </c:pt>
              </c:numCache>
            </c:numRef>
          </c:val>
          <c:smooth val="0"/>
          <c:extLst>
            <c:ext xmlns:c16="http://schemas.microsoft.com/office/drawing/2014/chart" uri="{C3380CC4-5D6E-409C-BE32-E72D297353CC}">
              <c16:uniqueId val="{00000000-4753-4A6B-9ECB-5DF393D448ED}"/>
            </c:ext>
          </c:extLst>
        </c:ser>
        <c:ser>
          <c:idx val="1"/>
          <c:order val="1"/>
          <c:tx>
            <c:strRef>
              <c:f>盈利能力!$C$179</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盈利能力!$D$179:$M$179</c:f>
              <c:numCache>
                <c:formatCode>0.00_ </c:formatCode>
                <c:ptCount val="10"/>
                <c:pt idx="0">
                  <c:v>0.59156944444444448</c:v>
                </c:pt>
                <c:pt idx="1">
                  <c:v>0.7824472222222224</c:v>
                </c:pt>
                <c:pt idx="2">
                  <c:v>0.95146666666666679</c:v>
                </c:pt>
                <c:pt idx="3">
                  <c:v>1.1282125000000003</c:v>
                </c:pt>
                <c:pt idx="4">
                  <c:v>0.99202142857142883</c:v>
                </c:pt>
                <c:pt idx="5">
                  <c:v>0.859757142857143</c:v>
                </c:pt>
                <c:pt idx="6">
                  <c:v>0.91912380952380957</c:v>
                </c:pt>
                <c:pt idx="7">
                  <c:v>0.9397333333333332</c:v>
                </c:pt>
                <c:pt idx="8">
                  <c:v>1.1974880952380953</c:v>
                </c:pt>
                <c:pt idx="9">
                  <c:v>1.4986190476190475</c:v>
                </c:pt>
              </c:numCache>
            </c:numRef>
          </c:val>
          <c:smooth val="0"/>
          <c:extLst>
            <c:ext xmlns:c16="http://schemas.microsoft.com/office/drawing/2014/chart" uri="{C3380CC4-5D6E-409C-BE32-E72D297353CC}">
              <c16:uniqueId val="{00000001-4753-4A6B-9ECB-5DF393D448ED}"/>
            </c:ext>
          </c:extLst>
        </c:ser>
        <c:ser>
          <c:idx val="2"/>
          <c:order val="2"/>
          <c:tx>
            <c:strRef>
              <c:f>盈利能力!$C$180</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盈利能力!$D$180:$M$180</c:f>
              <c:numCache>
                <c:formatCode>0.00_ </c:formatCode>
                <c:ptCount val="10"/>
                <c:pt idx="0">
                  <c:v>0.44109385848318938</c:v>
                </c:pt>
                <c:pt idx="1">
                  <c:v>0.52886087962962991</c:v>
                </c:pt>
                <c:pt idx="2">
                  <c:v>0.51643749999999988</c:v>
                </c:pt>
                <c:pt idx="3">
                  <c:v>0.44861871202916054</c:v>
                </c:pt>
                <c:pt idx="4">
                  <c:v>0.46008109467943048</c:v>
                </c:pt>
                <c:pt idx="5">
                  <c:v>0.45710106891701735</c:v>
                </c:pt>
                <c:pt idx="6">
                  <c:v>0.41912959211606826</c:v>
                </c:pt>
                <c:pt idx="7">
                  <c:v>0.46716376654958125</c:v>
                </c:pt>
                <c:pt idx="8">
                  <c:v>0.47891506996770877</c:v>
                </c:pt>
                <c:pt idx="9">
                  <c:v>0.36292624094445786</c:v>
                </c:pt>
              </c:numCache>
            </c:numRef>
          </c:val>
          <c:smooth val="0"/>
          <c:extLst>
            <c:ext xmlns:c16="http://schemas.microsoft.com/office/drawing/2014/chart" uri="{C3380CC4-5D6E-409C-BE32-E72D297353CC}">
              <c16:uniqueId val="{00000002-4753-4A6B-9ECB-5DF393D448ED}"/>
            </c:ext>
          </c:extLst>
        </c:ser>
        <c:dLbls>
          <c:showLegendKey val="0"/>
          <c:showVal val="0"/>
          <c:showCatName val="0"/>
          <c:showSerName val="0"/>
          <c:showPercent val="0"/>
          <c:showBubbleSize val="0"/>
        </c:dLbls>
        <c:smooth val="0"/>
        <c:axId val="915821504"/>
        <c:axId val="915822064"/>
      </c:lineChart>
      <c:catAx>
        <c:axId val="91582150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22064"/>
        <c:crosses val="autoZero"/>
        <c:auto val="0"/>
        <c:lblAlgn val="ctr"/>
        <c:lblOffset val="100"/>
        <c:noMultiLvlLbl val="0"/>
      </c:catAx>
      <c:valAx>
        <c:axId val="915822064"/>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821504"/>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每股净资产</a:t>
            </a:r>
            <a:endParaRPr lang="zh-CN"/>
          </a:p>
        </c:rich>
      </c:tx>
      <c:overlay val="0"/>
      <c:spPr>
        <a:noFill/>
        <a:ln>
          <a:noFill/>
        </a:ln>
        <a:effectLst/>
      </c:spPr>
    </c:title>
    <c:autoTitleDeleted val="0"/>
    <c:plotArea>
      <c:layout/>
      <c:lineChart>
        <c:grouping val="standard"/>
        <c:varyColors val="0"/>
        <c:ser>
          <c:idx val="0"/>
          <c:order val="0"/>
          <c:tx>
            <c:strRef>
              <c:f>盈利能力!$C$216</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盈利能力!$D$216:$M$216</c:f>
              <c:numCache>
                <c:formatCode>0.00_ </c:formatCode>
                <c:ptCount val="10"/>
                <c:pt idx="0">
                  <c:v>15.33</c:v>
                </c:pt>
                <c:pt idx="1">
                  <c:v>19.489999999999998</c:v>
                </c:pt>
                <c:pt idx="2">
                  <c:v>24.07</c:v>
                </c:pt>
                <c:pt idx="3">
                  <c:v>32.893769985629</c:v>
                </c:pt>
                <c:pt idx="4">
                  <c:v>41.054746275028997</c:v>
                </c:pt>
                <c:pt idx="5">
                  <c:v>46.786774097756997</c:v>
                </c:pt>
                <c:pt idx="6">
                  <c:v>50.888465525882999</c:v>
                </c:pt>
                <c:pt idx="7">
                  <c:v>58.027595481578999</c:v>
                </c:pt>
                <c:pt idx="8">
                  <c:v>72.800257116324005</c:v>
                </c:pt>
                <c:pt idx="9">
                  <c:v>89.825475201477005</c:v>
                </c:pt>
              </c:numCache>
            </c:numRef>
          </c:val>
          <c:smooth val="0"/>
          <c:extLst>
            <c:ext xmlns:c16="http://schemas.microsoft.com/office/drawing/2014/chart" uri="{C3380CC4-5D6E-409C-BE32-E72D297353CC}">
              <c16:uniqueId val="{00000000-2FB0-491E-B613-92895A34F0A7}"/>
            </c:ext>
          </c:extLst>
        </c:ser>
        <c:ser>
          <c:idx val="1"/>
          <c:order val="1"/>
          <c:tx>
            <c:strRef>
              <c:f>盈利能力!$C$217</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盈利能力!$D$217:$M$217</c:f>
              <c:numCache>
                <c:formatCode>0.00_ </c:formatCode>
                <c:ptCount val="10"/>
                <c:pt idx="0">
                  <c:v>4.3122685468328923</c:v>
                </c:pt>
                <c:pt idx="1">
                  <c:v>5.0015295684010983</c:v>
                </c:pt>
                <c:pt idx="2">
                  <c:v>5.8473068672826267</c:v>
                </c:pt>
                <c:pt idx="3">
                  <c:v>6.5811976308220013</c:v>
                </c:pt>
                <c:pt idx="4">
                  <c:v>7.470929103809496</c:v>
                </c:pt>
                <c:pt idx="5">
                  <c:v>7.8896479630839238</c:v>
                </c:pt>
                <c:pt idx="6">
                  <c:v>8.5675624407323152</c:v>
                </c:pt>
                <c:pt idx="7">
                  <c:v>8.8234119280757017</c:v>
                </c:pt>
                <c:pt idx="8">
                  <c:v>9.9502819978886148</c:v>
                </c:pt>
                <c:pt idx="9">
                  <c:v>10.768681267229288</c:v>
                </c:pt>
              </c:numCache>
            </c:numRef>
          </c:val>
          <c:smooth val="0"/>
          <c:extLst>
            <c:ext xmlns:c16="http://schemas.microsoft.com/office/drawing/2014/chart" uri="{C3380CC4-5D6E-409C-BE32-E72D297353CC}">
              <c16:uniqueId val="{00000001-2FB0-491E-B613-92895A34F0A7}"/>
            </c:ext>
          </c:extLst>
        </c:ser>
        <c:ser>
          <c:idx val="2"/>
          <c:order val="2"/>
          <c:tx>
            <c:strRef>
              <c:f>盈利能力!$C$218</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盈利能力!$D$218:$M$218</c:f>
              <c:numCache>
                <c:formatCode>0.00_ </c:formatCode>
                <c:ptCount val="10"/>
                <c:pt idx="0">
                  <c:v>3.0255320480607391</c:v>
                </c:pt>
                <c:pt idx="1">
                  <c:v>3.4049981352426455</c:v>
                </c:pt>
                <c:pt idx="2">
                  <c:v>3.7427597897982086</c:v>
                </c:pt>
                <c:pt idx="3">
                  <c:v>4.0605029974905689</c:v>
                </c:pt>
                <c:pt idx="4">
                  <c:v>4.3036266425089522</c:v>
                </c:pt>
                <c:pt idx="5">
                  <c:v>4.6568330834514589</c:v>
                </c:pt>
                <c:pt idx="6">
                  <c:v>4.8815774429544874</c:v>
                </c:pt>
                <c:pt idx="7">
                  <c:v>5.0631486837072783</c:v>
                </c:pt>
                <c:pt idx="8">
                  <c:v>5.3045735023955416</c:v>
                </c:pt>
                <c:pt idx="9">
                  <c:v>5.4884972141116366</c:v>
                </c:pt>
              </c:numCache>
            </c:numRef>
          </c:val>
          <c:smooth val="0"/>
          <c:extLst>
            <c:ext xmlns:c16="http://schemas.microsoft.com/office/drawing/2014/chart" uri="{C3380CC4-5D6E-409C-BE32-E72D297353CC}">
              <c16:uniqueId val="{00000002-2FB0-491E-B613-92895A34F0A7}"/>
            </c:ext>
          </c:extLst>
        </c:ser>
        <c:dLbls>
          <c:showLegendKey val="0"/>
          <c:showVal val="0"/>
          <c:showCatName val="0"/>
          <c:showSerName val="0"/>
          <c:showPercent val="0"/>
          <c:showBubbleSize val="0"/>
        </c:dLbls>
        <c:smooth val="0"/>
        <c:axId val="1002197472"/>
        <c:axId val="1002198032"/>
      </c:lineChart>
      <c:catAx>
        <c:axId val="1002197472"/>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198032"/>
        <c:crosses val="autoZero"/>
        <c:auto val="0"/>
        <c:lblAlgn val="ctr"/>
        <c:lblOffset val="100"/>
        <c:noMultiLvlLbl val="0"/>
      </c:catAx>
      <c:valAx>
        <c:axId val="1002198032"/>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197472"/>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  归属母公司股东的净利润合计</a:t>
            </a:r>
            <a:r>
              <a:rPr lang="en-US" altLang="zh-CN"/>
              <a:t>(</a:t>
            </a:r>
            <a:r>
              <a:rPr lang="zh-CN" altLang="en-US"/>
              <a:t>同比增长率</a:t>
            </a:r>
            <a:r>
              <a:rPr lang="en-US" altLang="zh-CN"/>
              <a:t>)</a:t>
            </a:r>
            <a:endParaRPr lang="zh-CN"/>
          </a:p>
        </c:rich>
      </c:tx>
      <c:layout>
        <c:manualLayout>
          <c:xMode val="edge"/>
          <c:yMode val="edge"/>
          <c:x val="0.29603437691835482"/>
          <c:y val="2.7131782945736434E-2"/>
        </c:manualLayout>
      </c:layout>
      <c:overlay val="0"/>
      <c:spPr>
        <a:noFill/>
        <a:ln>
          <a:noFill/>
        </a:ln>
        <a:effectLst/>
      </c:spPr>
    </c:title>
    <c:autoTitleDeleted val="0"/>
    <c:plotArea>
      <c:layout/>
      <c:lineChart>
        <c:grouping val="standard"/>
        <c:varyColors val="0"/>
        <c:ser>
          <c:idx val="0"/>
          <c:order val="0"/>
          <c:tx>
            <c:strRef>
              <c:f>盈利能力!$C$254</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盈利能力!$D$254:$M$254</c:f>
              <c:numCache>
                <c:formatCode>0.00_ </c:formatCode>
                <c:ptCount val="10"/>
                <c:pt idx="0">
                  <c:v>13.50093936054151</c:v>
                </c:pt>
                <c:pt idx="1">
                  <c:v>17.130604584103729</c:v>
                </c:pt>
                <c:pt idx="2">
                  <c:v>73.486615869002705</c:v>
                </c:pt>
                <c:pt idx="3">
                  <c:v>51.86417924805172</c:v>
                </c:pt>
                <c:pt idx="4">
                  <c:v>13.740225672382206</c:v>
                </c:pt>
                <c:pt idx="5">
                  <c:v>1.4082685520494056</c:v>
                </c:pt>
                <c:pt idx="6">
                  <c:v>0.99861829435575744</c:v>
                </c:pt>
                <c:pt idx="7">
                  <c:v>7.8389046062097014</c:v>
                </c:pt>
                <c:pt idx="8">
                  <c:v>61.9737571575102</c:v>
                </c:pt>
                <c:pt idx="9">
                  <c:v>30.001687376487794</c:v>
                </c:pt>
              </c:numCache>
            </c:numRef>
          </c:val>
          <c:smooth val="0"/>
          <c:extLst>
            <c:ext xmlns:c16="http://schemas.microsoft.com/office/drawing/2014/chart" uri="{C3380CC4-5D6E-409C-BE32-E72D297353CC}">
              <c16:uniqueId val="{00000000-E4B8-4174-B4F6-395AC2C3BBC9}"/>
            </c:ext>
          </c:extLst>
        </c:ser>
        <c:ser>
          <c:idx val="1"/>
          <c:order val="1"/>
          <c:tx>
            <c:strRef>
              <c:f>盈利能力!$C$255</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盈利能力!$D$255:$M$255</c:f>
              <c:numCache>
                <c:formatCode>0.00_ </c:formatCode>
                <c:ptCount val="10"/>
                <c:pt idx="0">
                  <c:v>41.519047086700532</c:v>
                </c:pt>
                <c:pt idx="1">
                  <c:v>32.551770749488377</c:v>
                </c:pt>
                <c:pt idx="2">
                  <c:v>45.221218004264479</c:v>
                </c:pt>
                <c:pt idx="3">
                  <c:v>41.812754182272343</c:v>
                </c:pt>
                <c:pt idx="4">
                  <c:v>-10.866518267106922</c:v>
                </c:pt>
                <c:pt idx="5">
                  <c:v>-13.136518511487521</c:v>
                </c:pt>
                <c:pt idx="6">
                  <c:v>9.4309249469400278</c:v>
                </c:pt>
                <c:pt idx="7">
                  <c:v>7.0966548951579362</c:v>
                </c:pt>
                <c:pt idx="8">
                  <c:v>35.893196033326269</c:v>
                </c:pt>
                <c:pt idx="9">
                  <c:v>30.380273249465073</c:v>
                </c:pt>
              </c:numCache>
            </c:numRef>
          </c:val>
          <c:smooth val="0"/>
          <c:extLst>
            <c:ext xmlns:c16="http://schemas.microsoft.com/office/drawing/2014/chart" uri="{C3380CC4-5D6E-409C-BE32-E72D297353CC}">
              <c16:uniqueId val="{00000001-E4B8-4174-B4F6-395AC2C3BBC9}"/>
            </c:ext>
          </c:extLst>
        </c:ser>
        <c:ser>
          <c:idx val="2"/>
          <c:order val="2"/>
          <c:tx>
            <c:strRef>
              <c:f>盈利能力!$C$256</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盈利能力!$D$256:$M$256</c:f>
              <c:numCache>
                <c:formatCode>0.00_ </c:formatCode>
                <c:ptCount val="10"/>
                <c:pt idx="0">
                  <c:v>27.802107106206503</c:v>
                </c:pt>
                <c:pt idx="1">
                  <c:v>36.570656535827609</c:v>
                </c:pt>
                <c:pt idx="2">
                  <c:v>11.776775571201807</c:v>
                </c:pt>
                <c:pt idx="3">
                  <c:v>0.83232736599421975</c:v>
                </c:pt>
                <c:pt idx="4">
                  <c:v>14.10915057973345</c:v>
                </c:pt>
                <c:pt idx="5">
                  <c:v>7.2670093197708843</c:v>
                </c:pt>
                <c:pt idx="6">
                  <c:v>1.2944001254129829</c:v>
                </c:pt>
                <c:pt idx="7">
                  <c:v>5.2122980130094696</c:v>
                </c:pt>
                <c:pt idx="8">
                  <c:v>18.170344512806501</c:v>
                </c:pt>
                <c:pt idx="9">
                  <c:v>-1.5732559124190251</c:v>
                </c:pt>
              </c:numCache>
            </c:numRef>
          </c:val>
          <c:smooth val="0"/>
          <c:extLst>
            <c:ext xmlns:c16="http://schemas.microsoft.com/office/drawing/2014/chart" uri="{C3380CC4-5D6E-409C-BE32-E72D297353CC}">
              <c16:uniqueId val="{00000002-E4B8-4174-B4F6-395AC2C3BBC9}"/>
            </c:ext>
          </c:extLst>
        </c:ser>
        <c:dLbls>
          <c:showLegendKey val="0"/>
          <c:showVal val="0"/>
          <c:showCatName val="0"/>
          <c:showSerName val="0"/>
          <c:showPercent val="0"/>
          <c:showBubbleSize val="0"/>
        </c:dLbls>
        <c:smooth val="0"/>
        <c:axId val="1002201952"/>
        <c:axId val="995851040"/>
      </c:lineChart>
      <c:catAx>
        <c:axId val="1002201952"/>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851040"/>
        <c:crosses val="autoZero"/>
        <c:auto val="0"/>
        <c:lblAlgn val="ctr"/>
        <c:lblOffset val="100"/>
        <c:noMultiLvlLbl val="0"/>
      </c:catAx>
      <c:valAx>
        <c:axId val="99585104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201952"/>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ltLang="en-US"/>
              <a:t>营业收入合计</a:t>
            </a:r>
            <a:r>
              <a:rPr lang="en-US" altLang="zh-CN"/>
              <a:t>(</a:t>
            </a:r>
            <a:r>
              <a:rPr lang="zh-CN" altLang="en-US"/>
              <a:t>同比增长率</a:t>
            </a:r>
            <a:r>
              <a:rPr lang="en-US" altLang="zh-CN"/>
              <a:t>)</a:t>
            </a:r>
            <a:endParaRPr lang="zh-CN"/>
          </a:p>
        </c:rich>
      </c:tx>
      <c:overlay val="0"/>
      <c:spPr>
        <a:noFill/>
        <a:ln>
          <a:noFill/>
        </a:ln>
        <a:effectLst/>
      </c:spPr>
    </c:title>
    <c:autoTitleDeleted val="0"/>
    <c:plotArea>
      <c:layout/>
      <c:lineChart>
        <c:grouping val="standard"/>
        <c:varyColors val="0"/>
        <c:ser>
          <c:idx val="0"/>
          <c:order val="0"/>
          <c:tx>
            <c:strRef>
              <c:f>盈利能力!$C$254</c:f>
              <c:strCache>
                <c:ptCount val="1"/>
                <c:pt idx="0">
                  <c:v>贵州茅台</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盈利能力!$D$254:$M$254</c:f>
              <c:numCache>
                <c:formatCode>0.00_ </c:formatCode>
                <c:ptCount val="10"/>
                <c:pt idx="0">
                  <c:v>13.50093936054151</c:v>
                </c:pt>
                <c:pt idx="1">
                  <c:v>17.130604584103729</c:v>
                </c:pt>
                <c:pt idx="2">
                  <c:v>73.486615869002705</c:v>
                </c:pt>
                <c:pt idx="3">
                  <c:v>51.86417924805172</c:v>
                </c:pt>
                <c:pt idx="4">
                  <c:v>13.740225672382206</c:v>
                </c:pt>
                <c:pt idx="5">
                  <c:v>1.4082685520494056</c:v>
                </c:pt>
                <c:pt idx="6">
                  <c:v>0.99861829435575744</c:v>
                </c:pt>
                <c:pt idx="7">
                  <c:v>7.8389046062097014</c:v>
                </c:pt>
                <c:pt idx="8">
                  <c:v>61.9737571575102</c:v>
                </c:pt>
                <c:pt idx="9">
                  <c:v>30.001687376487794</c:v>
                </c:pt>
              </c:numCache>
            </c:numRef>
          </c:val>
          <c:smooth val="0"/>
          <c:extLst>
            <c:ext xmlns:c16="http://schemas.microsoft.com/office/drawing/2014/chart" uri="{C3380CC4-5D6E-409C-BE32-E72D297353CC}">
              <c16:uniqueId val="{00000000-2639-488E-BA08-BC6AC2FB138D}"/>
            </c:ext>
          </c:extLst>
        </c:ser>
        <c:ser>
          <c:idx val="1"/>
          <c:order val="1"/>
          <c:tx>
            <c:strRef>
              <c:f>盈利能力!$C$255</c:f>
              <c:strCache>
                <c:ptCount val="1"/>
                <c:pt idx="0">
                  <c:v>饮料</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盈利能力!$D$255:$M$255</c:f>
              <c:numCache>
                <c:formatCode>0.00_ </c:formatCode>
                <c:ptCount val="10"/>
                <c:pt idx="0">
                  <c:v>41.519047086700532</c:v>
                </c:pt>
                <c:pt idx="1">
                  <c:v>32.551770749488377</c:v>
                </c:pt>
                <c:pt idx="2">
                  <c:v>45.221218004264479</c:v>
                </c:pt>
                <c:pt idx="3">
                  <c:v>41.812754182272343</c:v>
                </c:pt>
                <c:pt idx="4">
                  <c:v>-10.866518267106922</c:v>
                </c:pt>
                <c:pt idx="5">
                  <c:v>-13.136518511487521</c:v>
                </c:pt>
                <c:pt idx="6">
                  <c:v>9.4309249469400278</c:v>
                </c:pt>
                <c:pt idx="7">
                  <c:v>7.0966548951579362</c:v>
                </c:pt>
                <c:pt idx="8">
                  <c:v>35.893196033326269</c:v>
                </c:pt>
                <c:pt idx="9">
                  <c:v>30.380273249465073</c:v>
                </c:pt>
              </c:numCache>
            </c:numRef>
          </c:val>
          <c:smooth val="0"/>
          <c:extLst>
            <c:ext xmlns:c16="http://schemas.microsoft.com/office/drawing/2014/chart" uri="{C3380CC4-5D6E-409C-BE32-E72D297353CC}">
              <c16:uniqueId val="{00000001-2639-488E-BA08-BC6AC2FB138D}"/>
            </c:ext>
          </c:extLst>
        </c:ser>
        <c:ser>
          <c:idx val="2"/>
          <c:order val="2"/>
          <c:tx>
            <c:strRef>
              <c:f>盈利能力!$C$256</c:f>
              <c:strCache>
                <c:ptCount val="1"/>
                <c:pt idx="0">
                  <c:v>全市场</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strRef>
              <c:f>盈利能力!$D$22:$M$22</c:f>
              <c:strCache>
                <c:ptCount val="10"/>
                <c:pt idx="0">
                  <c:v>2009-12-31</c:v>
                </c:pt>
                <c:pt idx="1">
                  <c:v>2010-12-31</c:v>
                </c:pt>
                <c:pt idx="2">
                  <c:v>2011-12-31</c:v>
                </c:pt>
                <c:pt idx="3">
                  <c:v>2012-12-31</c:v>
                </c:pt>
                <c:pt idx="4">
                  <c:v>2013-12-31</c:v>
                </c:pt>
                <c:pt idx="5">
                  <c:v>2014-12-31</c:v>
                </c:pt>
                <c:pt idx="6">
                  <c:v>2015-12-31</c:v>
                </c:pt>
                <c:pt idx="7">
                  <c:v>2016-12-31</c:v>
                </c:pt>
                <c:pt idx="8">
                  <c:v>2017-12-31</c:v>
                </c:pt>
                <c:pt idx="9">
                  <c:v>2018-12-31</c:v>
                </c:pt>
              </c:strCache>
            </c:strRef>
          </c:cat>
          <c:val>
            <c:numRef>
              <c:f>盈利能力!$D$256:$M$256</c:f>
              <c:numCache>
                <c:formatCode>0.00_ </c:formatCode>
                <c:ptCount val="10"/>
                <c:pt idx="0">
                  <c:v>27.802107106206503</c:v>
                </c:pt>
                <c:pt idx="1">
                  <c:v>36.570656535827609</c:v>
                </c:pt>
                <c:pt idx="2">
                  <c:v>11.776775571201807</c:v>
                </c:pt>
                <c:pt idx="3">
                  <c:v>0.83232736599421975</c:v>
                </c:pt>
                <c:pt idx="4">
                  <c:v>14.10915057973345</c:v>
                </c:pt>
                <c:pt idx="5">
                  <c:v>7.2670093197708843</c:v>
                </c:pt>
                <c:pt idx="6">
                  <c:v>1.2944001254129829</c:v>
                </c:pt>
                <c:pt idx="7">
                  <c:v>5.2122980130094696</c:v>
                </c:pt>
                <c:pt idx="8">
                  <c:v>18.170344512806501</c:v>
                </c:pt>
                <c:pt idx="9">
                  <c:v>-1.5732559124190251</c:v>
                </c:pt>
              </c:numCache>
            </c:numRef>
          </c:val>
          <c:smooth val="0"/>
          <c:extLst>
            <c:ext xmlns:c16="http://schemas.microsoft.com/office/drawing/2014/chart" uri="{C3380CC4-5D6E-409C-BE32-E72D297353CC}">
              <c16:uniqueId val="{00000002-2639-488E-BA08-BC6AC2FB138D}"/>
            </c:ext>
          </c:extLst>
        </c:ser>
        <c:dLbls>
          <c:showLegendKey val="0"/>
          <c:showVal val="0"/>
          <c:showCatName val="0"/>
          <c:showSerName val="0"/>
          <c:showPercent val="0"/>
          <c:showBubbleSize val="0"/>
        </c:dLbls>
        <c:smooth val="0"/>
        <c:axId val="995854960"/>
        <c:axId val="995855520"/>
      </c:lineChart>
      <c:catAx>
        <c:axId val="99585496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855520"/>
        <c:crosses val="autoZero"/>
        <c:auto val="0"/>
        <c:lblAlgn val="ctr"/>
        <c:lblOffset val="100"/>
        <c:noMultiLvlLbl val="0"/>
      </c:catAx>
      <c:valAx>
        <c:axId val="99585552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854960"/>
        <c:crosses val="autoZero"/>
        <c:crossBetween val="between"/>
      </c:valAx>
      <c:spPr>
        <a:noFill/>
        <a:ln w="25400">
          <a:noFill/>
        </a:ln>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image" Target="../media/image47.png"/><Relationship Id="rId2" Type="http://schemas.openxmlformats.org/officeDocument/2006/relationships/image" Target="../media/image46.png"/><Relationship Id="rId1" Type="http://schemas.openxmlformats.org/officeDocument/2006/relationships/image" Target="../media/image45.png"/><Relationship Id="rId4" Type="http://schemas.openxmlformats.org/officeDocument/2006/relationships/image" Target="../media/image48.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emf"/><Relationship Id="rId3" Type="http://schemas.openxmlformats.org/officeDocument/2006/relationships/image" Target="../media/image25.emf"/><Relationship Id="rId21" Type="http://schemas.openxmlformats.org/officeDocument/2006/relationships/image" Target="../media/image43.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20" Type="http://schemas.openxmlformats.org/officeDocument/2006/relationships/image" Target="../media/image42.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19" Type="http://schemas.openxmlformats.org/officeDocument/2006/relationships/image" Target="../media/image41.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 Id="rId22"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oneCellAnchor>
    <xdr:from>
      <xdr:col>2</xdr:col>
      <xdr:colOff>0</xdr:colOff>
      <xdr:row>0</xdr:row>
      <xdr:rowOff>95250</xdr:rowOff>
    </xdr:from>
    <xdr:ext cx="8008283" cy="857250"/>
    <xdr:sp macro="" textlink="">
      <xdr:nvSpPr>
        <xdr:cNvPr id="2" name="矩形 1">
          <a:extLst>
            <a:ext uri="{FF2B5EF4-FFF2-40B4-BE49-F238E27FC236}">
              <a16:creationId xmlns:a16="http://schemas.microsoft.com/office/drawing/2014/main" id="{00000000-0008-0000-0000-000002000000}"/>
            </a:ext>
          </a:extLst>
        </xdr:cNvPr>
        <xdr:cNvSpPr/>
      </xdr:nvSpPr>
      <xdr:spPr>
        <a:xfrm>
          <a:off x="1371600" y="95250"/>
          <a:ext cx="8008283" cy="857250"/>
        </a:xfrm>
        <a:prstGeom prst="rect">
          <a:avLst/>
        </a:prstGeom>
        <a:noFill/>
        <a:effectLst/>
      </xdr:spPr>
      <xdr:txBody>
        <a:bodyPr wrap="none" lIns="91440" tIns="45720" rIns="91440" bIns="45720" anchor="ctr">
          <a:noAutofit/>
        </a:bodyPr>
        <a:lstStyle/>
        <a:p>
          <a:pPr algn="ctr"/>
          <a:r>
            <a:rPr lang="en-US" altLang="zh-CN" sz="11500" b="1" cap="none" spc="0">
              <a:ln w="22225">
                <a:solidFill>
                  <a:schemeClr val="accent2"/>
                </a:solidFill>
                <a:prstDash val="solid"/>
              </a:ln>
              <a:solidFill>
                <a:srgbClr val="FF0000"/>
              </a:solidFill>
              <a:effectLst/>
            </a:rPr>
            <a:t>C</a:t>
          </a:r>
          <a:r>
            <a:rPr lang="en-US" altLang="zh-CN" sz="5400" b="1" cap="none" spc="0">
              <a:ln w="22225">
                <a:solidFill>
                  <a:schemeClr val="accent2"/>
                </a:solidFill>
                <a:prstDash val="solid"/>
              </a:ln>
              <a:solidFill>
                <a:srgbClr val="FF0000"/>
              </a:solidFill>
              <a:effectLst/>
            </a:rPr>
            <a:t>hoice </a:t>
          </a:r>
          <a:r>
            <a:rPr lang="zh-CN" altLang="en-US" sz="5400" b="1" cap="none" spc="0">
              <a:ln w="22225">
                <a:solidFill>
                  <a:schemeClr val="accent2"/>
                </a:solidFill>
                <a:prstDash val="solid"/>
              </a:ln>
              <a:solidFill>
                <a:srgbClr val="FF0000"/>
              </a:solidFill>
              <a:effectLst/>
            </a:rPr>
            <a:t>数据财务分析</a:t>
          </a:r>
          <a:endParaRPr lang="en-US" altLang="zh-CN" sz="5400" b="1" cap="none" spc="0">
            <a:ln w="22225">
              <a:solidFill>
                <a:schemeClr val="accent2"/>
              </a:solidFill>
              <a:prstDash val="solid"/>
            </a:ln>
            <a:solidFill>
              <a:srgbClr val="FF0000"/>
            </a:solidFill>
            <a:effectLst/>
          </a:endParaRPr>
        </a:p>
      </xdr:txBody>
    </xdr:sp>
    <xdr:clientData/>
  </xdr:oneCellAnchor>
  <mc:AlternateContent xmlns:mc="http://schemas.openxmlformats.org/markup-compatibility/2006">
    <mc:Choice xmlns:a14="http://schemas.microsoft.com/office/drawing/2010/main" Requires="a14">
      <xdr:twoCellAnchor>
        <xdr:from>
          <xdr:col>10</xdr:col>
          <xdr:colOff>17335</xdr:colOff>
          <xdr:row>18</xdr:row>
          <xdr:rowOff>125676</xdr:rowOff>
        </xdr:from>
        <xdr:to>
          <xdr:col>12</xdr:col>
          <xdr:colOff>221016</xdr:colOff>
          <xdr:row>20</xdr:row>
          <xdr:rowOff>151678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宋体"/>
                  <a:ea typeface="宋体"/>
                </a:rPr>
                <a:t>开始计算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85725</xdr:colOff>
      <xdr:row>1</xdr:row>
      <xdr:rowOff>9525</xdr:rowOff>
    </xdr:from>
    <xdr:ext cx="4760258" cy="952500"/>
    <xdr:sp macro="" textlink="">
      <xdr:nvSpPr>
        <xdr:cNvPr id="3" name="矩形 2">
          <a:extLst>
            <a:ext uri="{FF2B5EF4-FFF2-40B4-BE49-F238E27FC236}">
              <a16:creationId xmlns:a16="http://schemas.microsoft.com/office/drawing/2014/main" id="{00000000-0008-0000-0100-000003000000}"/>
            </a:ext>
          </a:extLst>
        </xdr:cNvPr>
        <xdr:cNvSpPr/>
      </xdr:nvSpPr>
      <xdr:spPr>
        <a:xfrm>
          <a:off x="4200525" y="180975"/>
          <a:ext cx="4760258" cy="952500"/>
        </a:xfrm>
        <a:prstGeom prst="rect">
          <a:avLst/>
        </a:prstGeom>
        <a:noFill/>
        <a:effectLst/>
      </xdr:spPr>
      <xdr:txBody>
        <a:bodyPr wrap="none" lIns="91440" tIns="45720" rIns="91440" bIns="45720" anchor="ctr">
          <a:noAutofit/>
        </a:bodyPr>
        <a:lstStyle/>
        <a:p>
          <a:pPr algn="ctr"/>
          <a:r>
            <a:rPr lang="zh-CN" altLang="en-US" sz="5400" b="1" cap="none" spc="0">
              <a:ln w="22225">
                <a:solidFill>
                  <a:schemeClr val="accent2"/>
                </a:solidFill>
                <a:prstDash val="solid"/>
              </a:ln>
              <a:solidFill>
                <a:srgbClr val="FF0000"/>
              </a:solidFill>
              <a:effectLst/>
            </a:rPr>
            <a:t>数据速览</a:t>
          </a:r>
          <a:endParaRPr lang="en-US" altLang="zh-CN" sz="5400" b="1" cap="none" spc="0">
            <a:ln w="22225">
              <a:solidFill>
                <a:schemeClr val="accent2"/>
              </a:solidFill>
              <a:prstDash val="solid"/>
            </a:ln>
            <a:solidFill>
              <a:srgbClr val="FF0000"/>
            </a:solidFill>
            <a:effectLst/>
          </a:endParaRPr>
        </a:p>
      </xdr:txBody>
    </xdr:sp>
    <xdr:clientData/>
  </xdr:oneCellAnchor>
  <mc:AlternateContent xmlns:mc="http://schemas.openxmlformats.org/markup-compatibility/2006">
    <mc:Choice xmlns:a14="http://schemas.microsoft.com/office/drawing/2010/main" Requires="a14">
      <xdr:twoCellAnchor editAs="oneCell">
        <xdr:from>
          <xdr:col>1</xdr:col>
          <xdr:colOff>419100</xdr:colOff>
          <xdr:row>11</xdr:row>
          <xdr:rowOff>19050</xdr:rowOff>
        </xdr:from>
        <xdr:to>
          <xdr:col>19</xdr:col>
          <xdr:colOff>85725</xdr:colOff>
          <xdr:row>19</xdr:row>
          <xdr:rowOff>9525</xdr:rowOff>
        </xdr:to>
        <xdr:pic>
          <xdr:nvPicPr>
            <xdr:cNvPr id="12817" name="图片 10">
              <a:extLst>
                <a:ext uri="{FF2B5EF4-FFF2-40B4-BE49-F238E27FC236}">
                  <a16:creationId xmlns:a16="http://schemas.microsoft.com/office/drawing/2014/main" id="{00000000-0008-0000-0100-000011320000}"/>
                </a:ext>
              </a:extLst>
            </xdr:cNvPr>
            <xdr:cNvPicPr>
              <a:picLocks noChangeAspect="1" noChangeArrowheads="1"/>
              <a:extLst>
                <a:ext uri="{84589F7E-364E-4C9E-8A38-B11213B215E9}">
                  <a14:cameraTool cellRange="偿债能力!$A$17:$N$23" spid="_x0000_s20604"/>
                </a:ext>
              </a:extLst>
            </xdr:cNvPicPr>
          </xdr:nvPicPr>
          <xdr:blipFill>
            <a:blip xmlns:r="http://schemas.openxmlformats.org/officeDocument/2006/relationships" r:embed="rId1"/>
            <a:srcRect/>
            <a:stretch>
              <a:fillRect/>
            </a:stretch>
          </xdr:blipFill>
          <xdr:spPr bwMode="auto">
            <a:xfrm>
              <a:off x="1104900" y="1905000"/>
              <a:ext cx="12011025" cy="1362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19</xdr:row>
          <xdr:rowOff>9525</xdr:rowOff>
        </xdr:from>
        <xdr:to>
          <xdr:col>19</xdr:col>
          <xdr:colOff>85725</xdr:colOff>
          <xdr:row>26</xdr:row>
          <xdr:rowOff>19050</xdr:rowOff>
        </xdr:to>
        <xdr:pic>
          <xdr:nvPicPr>
            <xdr:cNvPr id="12818" name="图片 12">
              <a:extLst>
                <a:ext uri="{FF2B5EF4-FFF2-40B4-BE49-F238E27FC236}">
                  <a16:creationId xmlns:a16="http://schemas.microsoft.com/office/drawing/2014/main" id="{00000000-0008-0000-0100-000012320000}"/>
                </a:ext>
              </a:extLst>
            </xdr:cNvPr>
            <xdr:cNvPicPr>
              <a:picLocks noChangeAspect="1" noChangeArrowheads="1"/>
              <a:extLst>
                <a:ext uri="{84589F7E-364E-4C9E-8A38-B11213B215E9}">
                  <a14:cameraTool cellRange="偿债能力!$A$55:$N$61" spid="_x0000_s20605"/>
                </a:ext>
              </a:extLst>
            </xdr:cNvPicPr>
          </xdr:nvPicPr>
          <xdr:blipFill>
            <a:blip xmlns:r="http://schemas.openxmlformats.org/officeDocument/2006/relationships" r:embed="rId2"/>
            <a:srcRect/>
            <a:stretch>
              <a:fillRect/>
            </a:stretch>
          </xdr:blipFill>
          <xdr:spPr bwMode="auto">
            <a:xfrm>
              <a:off x="1104900" y="326707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26</xdr:row>
          <xdr:rowOff>19050</xdr:rowOff>
        </xdr:from>
        <xdr:to>
          <xdr:col>19</xdr:col>
          <xdr:colOff>104775</xdr:colOff>
          <xdr:row>33</xdr:row>
          <xdr:rowOff>28575</xdr:rowOff>
        </xdr:to>
        <xdr:pic>
          <xdr:nvPicPr>
            <xdr:cNvPr id="12819" name="图片 14">
              <a:extLst>
                <a:ext uri="{FF2B5EF4-FFF2-40B4-BE49-F238E27FC236}">
                  <a16:creationId xmlns:a16="http://schemas.microsoft.com/office/drawing/2014/main" id="{00000000-0008-0000-0100-000013320000}"/>
                </a:ext>
              </a:extLst>
            </xdr:cNvPr>
            <xdr:cNvPicPr>
              <a:picLocks noChangeAspect="1" noChangeArrowheads="1"/>
              <a:extLst>
                <a:ext uri="{84589F7E-364E-4C9E-8A38-B11213B215E9}">
                  <a14:cameraTool cellRange="偿债能力!$A$97:$N$103" spid="_x0000_s20606"/>
                </a:ext>
              </a:extLst>
            </xdr:cNvPicPr>
          </xdr:nvPicPr>
          <xdr:blipFill>
            <a:blip xmlns:r="http://schemas.openxmlformats.org/officeDocument/2006/relationships" r:embed="rId3"/>
            <a:srcRect/>
            <a:stretch>
              <a:fillRect/>
            </a:stretch>
          </xdr:blipFill>
          <xdr:spPr bwMode="auto">
            <a:xfrm>
              <a:off x="1123950" y="447675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33</xdr:row>
          <xdr:rowOff>28575</xdr:rowOff>
        </xdr:from>
        <xdr:to>
          <xdr:col>19</xdr:col>
          <xdr:colOff>142875</xdr:colOff>
          <xdr:row>40</xdr:row>
          <xdr:rowOff>38100</xdr:rowOff>
        </xdr:to>
        <xdr:pic>
          <xdr:nvPicPr>
            <xdr:cNvPr id="12820" name="图片 16">
              <a:extLst>
                <a:ext uri="{FF2B5EF4-FFF2-40B4-BE49-F238E27FC236}">
                  <a16:creationId xmlns:a16="http://schemas.microsoft.com/office/drawing/2014/main" id="{00000000-0008-0000-0100-000014320000}"/>
                </a:ext>
              </a:extLst>
            </xdr:cNvPr>
            <xdr:cNvPicPr>
              <a:picLocks noChangeAspect="1" noChangeArrowheads="1"/>
              <a:extLst>
                <a:ext uri="{84589F7E-364E-4C9E-8A38-B11213B215E9}">
                  <a14:cameraTool cellRange="偿债能力!$A$136:$N$142" spid="_x0000_s20607"/>
                </a:ext>
              </a:extLst>
            </xdr:cNvPicPr>
          </xdr:nvPicPr>
          <xdr:blipFill>
            <a:blip xmlns:r="http://schemas.openxmlformats.org/officeDocument/2006/relationships" r:embed="rId4"/>
            <a:srcRect/>
            <a:stretch>
              <a:fillRect/>
            </a:stretch>
          </xdr:blipFill>
          <xdr:spPr bwMode="auto">
            <a:xfrm>
              <a:off x="1162050" y="56864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40</xdr:row>
          <xdr:rowOff>38100</xdr:rowOff>
        </xdr:from>
        <xdr:to>
          <xdr:col>19</xdr:col>
          <xdr:colOff>161925</xdr:colOff>
          <xdr:row>47</xdr:row>
          <xdr:rowOff>47625</xdr:rowOff>
        </xdr:to>
        <xdr:pic>
          <xdr:nvPicPr>
            <xdr:cNvPr id="12821" name="图片 18">
              <a:extLst>
                <a:ext uri="{FF2B5EF4-FFF2-40B4-BE49-F238E27FC236}">
                  <a16:creationId xmlns:a16="http://schemas.microsoft.com/office/drawing/2014/main" id="{00000000-0008-0000-0100-000015320000}"/>
                </a:ext>
              </a:extLst>
            </xdr:cNvPr>
            <xdr:cNvPicPr>
              <a:picLocks noChangeAspect="1" noChangeArrowheads="1"/>
              <a:extLst>
                <a:ext uri="{84589F7E-364E-4C9E-8A38-B11213B215E9}">
                  <a14:cameraTool cellRange="偿债能力!$A$176:$N$182" spid="_x0000_s20608"/>
                </a:ext>
              </a:extLst>
            </xdr:cNvPicPr>
          </xdr:nvPicPr>
          <xdr:blipFill>
            <a:blip xmlns:r="http://schemas.openxmlformats.org/officeDocument/2006/relationships" r:embed="rId5"/>
            <a:srcRect/>
            <a:stretch>
              <a:fillRect/>
            </a:stretch>
          </xdr:blipFill>
          <xdr:spPr bwMode="auto">
            <a:xfrm>
              <a:off x="1181100" y="689610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47</xdr:row>
          <xdr:rowOff>28575</xdr:rowOff>
        </xdr:from>
        <xdr:to>
          <xdr:col>19</xdr:col>
          <xdr:colOff>161925</xdr:colOff>
          <xdr:row>54</xdr:row>
          <xdr:rowOff>38100</xdr:rowOff>
        </xdr:to>
        <xdr:pic>
          <xdr:nvPicPr>
            <xdr:cNvPr id="12822" name="图片 20">
              <a:extLst>
                <a:ext uri="{FF2B5EF4-FFF2-40B4-BE49-F238E27FC236}">
                  <a16:creationId xmlns:a16="http://schemas.microsoft.com/office/drawing/2014/main" id="{00000000-0008-0000-0100-000016320000}"/>
                </a:ext>
              </a:extLst>
            </xdr:cNvPr>
            <xdr:cNvPicPr>
              <a:picLocks noChangeAspect="1" noChangeArrowheads="1"/>
              <a:extLst>
                <a:ext uri="{84589F7E-364E-4C9E-8A38-B11213B215E9}">
                  <a14:cameraTool cellRange="偿债能力!$A$214:$N$220" spid="_x0000_s20609"/>
                </a:ext>
              </a:extLst>
            </xdr:cNvPicPr>
          </xdr:nvPicPr>
          <xdr:blipFill>
            <a:blip xmlns:r="http://schemas.openxmlformats.org/officeDocument/2006/relationships" r:embed="rId6"/>
            <a:srcRect/>
            <a:stretch>
              <a:fillRect/>
            </a:stretch>
          </xdr:blipFill>
          <xdr:spPr bwMode="auto">
            <a:xfrm>
              <a:off x="1181100" y="80867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54</xdr:row>
          <xdr:rowOff>38100</xdr:rowOff>
        </xdr:from>
        <xdr:to>
          <xdr:col>19</xdr:col>
          <xdr:colOff>190500</xdr:colOff>
          <xdr:row>62</xdr:row>
          <xdr:rowOff>28575</xdr:rowOff>
        </xdr:to>
        <xdr:pic>
          <xdr:nvPicPr>
            <xdr:cNvPr id="12823" name="图片 22">
              <a:extLst>
                <a:ext uri="{FF2B5EF4-FFF2-40B4-BE49-F238E27FC236}">
                  <a16:creationId xmlns:a16="http://schemas.microsoft.com/office/drawing/2014/main" id="{00000000-0008-0000-0100-000017320000}"/>
                </a:ext>
              </a:extLst>
            </xdr:cNvPr>
            <xdr:cNvPicPr>
              <a:picLocks noChangeAspect="1" noChangeArrowheads="1"/>
              <a:extLst>
                <a:ext uri="{84589F7E-364E-4C9E-8A38-B11213B215E9}">
                  <a14:cameraTool cellRange="营运能力!$A$19:$N$25" spid="_x0000_s20610"/>
                </a:ext>
              </a:extLst>
            </xdr:cNvPicPr>
          </xdr:nvPicPr>
          <xdr:blipFill>
            <a:blip xmlns:r="http://schemas.openxmlformats.org/officeDocument/2006/relationships" r:embed="rId7"/>
            <a:srcRect/>
            <a:stretch>
              <a:fillRect/>
            </a:stretch>
          </xdr:blipFill>
          <xdr:spPr bwMode="auto">
            <a:xfrm>
              <a:off x="1209675" y="9296400"/>
              <a:ext cx="12011025" cy="1362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62</xdr:row>
          <xdr:rowOff>9525</xdr:rowOff>
        </xdr:from>
        <xdr:to>
          <xdr:col>19</xdr:col>
          <xdr:colOff>161925</xdr:colOff>
          <xdr:row>69</xdr:row>
          <xdr:rowOff>19050</xdr:rowOff>
        </xdr:to>
        <xdr:pic>
          <xdr:nvPicPr>
            <xdr:cNvPr id="12824" name="图片 24">
              <a:extLst>
                <a:ext uri="{FF2B5EF4-FFF2-40B4-BE49-F238E27FC236}">
                  <a16:creationId xmlns:a16="http://schemas.microsoft.com/office/drawing/2014/main" id="{00000000-0008-0000-0100-000018320000}"/>
                </a:ext>
              </a:extLst>
            </xdr:cNvPr>
            <xdr:cNvPicPr>
              <a:picLocks noChangeAspect="1" noChangeArrowheads="1"/>
              <a:extLst>
                <a:ext uri="{84589F7E-364E-4C9E-8A38-B11213B215E9}">
                  <a14:cameraTool cellRange="营运能力!$A$57:$N$63" spid="_x0000_s20611"/>
                </a:ext>
              </a:extLst>
            </xdr:cNvPicPr>
          </xdr:nvPicPr>
          <xdr:blipFill>
            <a:blip xmlns:r="http://schemas.openxmlformats.org/officeDocument/2006/relationships" r:embed="rId8"/>
            <a:srcRect/>
            <a:stretch>
              <a:fillRect/>
            </a:stretch>
          </xdr:blipFill>
          <xdr:spPr bwMode="auto">
            <a:xfrm>
              <a:off x="1181100" y="106394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69</xdr:row>
          <xdr:rowOff>19050</xdr:rowOff>
        </xdr:from>
        <xdr:to>
          <xdr:col>19</xdr:col>
          <xdr:colOff>190500</xdr:colOff>
          <xdr:row>76</xdr:row>
          <xdr:rowOff>28575</xdr:rowOff>
        </xdr:to>
        <xdr:pic>
          <xdr:nvPicPr>
            <xdr:cNvPr id="12825" name="图片 26">
              <a:extLst>
                <a:ext uri="{FF2B5EF4-FFF2-40B4-BE49-F238E27FC236}">
                  <a16:creationId xmlns:a16="http://schemas.microsoft.com/office/drawing/2014/main" id="{00000000-0008-0000-0100-000019320000}"/>
                </a:ext>
              </a:extLst>
            </xdr:cNvPr>
            <xdr:cNvPicPr>
              <a:picLocks noChangeAspect="1" noChangeArrowheads="1"/>
              <a:extLst>
                <a:ext uri="{84589F7E-364E-4C9E-8A38-B11213B215E9}">
                  <a14:cameraTool cellRange="营运能力!$A$95:$N$101" spid="_x0000_s20612"/>
                </a:ext>
              </a:extLst>
            </xdr:cNvPicPr>
          </xdr:nvPicPr>
          <xdr:blipFill>
            <a:blip xmlns:r="http://schemas.openxmlformats.org/officeDocument/2006/relationships" r:embed="rId9"/>
            <a:srcRect/>
            <a:stretch>
              <a:fillRect/>
            </a:stretch>
          </xdr:blipFill>
          <xdr:spPr bwMode="auto">
            <a:xfrm>
              <a:off x="1209675" y="1184910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76</xdr:row>
          <xdr:rowOff>0</xdr:rowOff>
        </xdr:from>
        <xdr:to>
          <xdr:col>19</xdr:col>
          <xdr:colOff>190500</xdr:colOff>
          <xdr:row>83</xdr:row>
          <xdr:rowOff>9525</xdr:rowOff>
        </xdr:to>
        <xdr:pic>
          <xdr:nvPicPr>
            <xdr:cNvPr id="12826" name="图片 28">
              <a:extLst>
                <a:ext uri="{FF2B5EF4-FFF2-40B4-BE49-F238E27FC236}">
                  <a16:creationId xmlns:a16="http://schemas.microsoft.com/office/drawing/2014/main" id="{00000000-0008-0000-0100-00001A320000}"/>
                </a:ext>
              </a:extLst>
            </xdr:cNvPr>
            <xdr:cNvPicPr>
              <a:picLocks noChangeAspect="1" noChangeArrowheads="1"/>
              <a:extLst>
                <a:ext uri="{84589F7E-364E-4C9E-8A38-B11213B215E9}">
                  <a14:cameraTool cellRange="营运能力!$A$134:$N$140" spid="_x0000_s20613"/>
                </a:ext>
              </a:extLst>
            </xdr:cNvPicPr>
          </xdr:nvPicPr>
          <xdr:blipFill>
            <a:blip xmlns:r="http://schemas.openxmlformats.org/officeDocument/2006/relationships" r:embed="rId10"/>
            <a:srcRect/>
            <a:stretch>
              <a:fillRect/>
            </a:stretch>
          </xdr:blipFill>
          <xdr:spPr bwMode="auto">
            <a:xfrm>
              <a:off x="1209675" y="1303020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82</xdr:row>
          <xdr:rowOff>161925</xdr:rowOff>
        </xdr:from>
        <xdr:to>
          <xdr:col>19</xdr:col>
          <xdr:colOff>209550</xdr:colOff>
          <xdr:row>90</xdr:row>
          <xdr:rowOff>0</xdr:rowOff>
        </xdr:to>
        <xdr:pic>
          <xdr:nvPicPr>
            <xdr:cNvPr id="12827" name="图片 30">
              <a:extLst>
                <a:ext uri="{FF2B5EF4-FFF2-40B4-BE49-F238E27FC236}">
                  <a16:creationId xmlns:a16="http://schemas.microsoft.com/office/drawing/2014/main" id="{00000000-0008-0000-0100-00001B320000}"/>
                </a:ext>
              </a:extLst>
            </xdr:cNvPr>
            <xdr:cNvPicPr>
              <a:picLocks noChangeAspect="1" noChangeArrowheads="1"/>
              <a:extLst>
                <a:ext uri="{84589F7E-364E-4C9E-8A38-B11213B215E9}">
                  <a14:cameraTool cellRange="营运能力!$A$174:$N$180" spid="_x0000_s20614"/>
                </a:ext>
              </a:extLst>
            </xdr:cNvPicPr>
          </xdr:nvPicPr>
          <xdr:blipFill>
            <a:blip xmlns:r="http://schemas.openxmlformats.org/officeDocument/2006/relationships" r:embed="rId11"/>
            <a:srcRect/>
            <a:stretch>
              <a:fillRect/>
            </a:stretch>
          </xdr:blipFill>
          <xdr:spPr bwMode="auto">
            <a:xfrm>
              <a:off x="1228725" y="142208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90</xdr:row>
          <xdr:rowOff>0</xdr:rowOff>
        </xdr:from>
        <xdr:to>
          <xdr:col>19</xdr:col>
          <xdr:colOff>219075</xdr:colOff>
          <xdr:row>97</xdr:row>
          <xdr:rowOff>9525</xdr:rowOff>
        </xdr:to>
        <xdr:pic>
          <xdr:nvPicPr>
            <xdr:cNvPr id="12828" name="图片 32">
              <a:extLst>
                <a:ext uri="{FF2B5EF4-FFF2-40B4-BE49-F238E27FC236}">
                  <a16:creationId xmlns:a16="http://schemas.microsoft.com/office/drawing/2014/main" id="{00000000-0008-0000-0100-00001C320000}"/>
                </a:ext>
              </a:extLst>
            </xdr:cNvPr>
            <xdr:cNvPicPr>
              <a:picLocks noChangeAspect="1" noChangeArrowheads="1"/>
              <a:extLst>
                <a:ext uri="{84589F7E-364E-4C9E-8A38-B11213B215E9}">
                  <a14:cameraTool cellRange="营运能力!$A$212:$N$218" spid="_x0000_s20615"/>
                </a:ext>
              </a:extLst>
            </xdr:cNvPicPr>
          </xdr:nvPicPr>
          <xdr:blipFill>
            <a:blip xmlns:r="http://schemas.openxmlformats.org/officeDocument/2006/relationships" r:embed="rId12"/>
            <a:srcRect/>
            <a:stretch>
              <a:fillRect/>
            </a:stretch>
          </xdr:blipFill>
          <xdr:spPr bwMode="auto">
            <a:xfrm>
              <a:off x="1238250" y="1543050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97</xdr:row>
          <xdr:rowOff>9525</xdr:rowOff>
        </xdr:from>
        <xdr:to>
          <xdr:col>19</xdr:col>
          <xdr:colOff>200025</xdr:colOff>
          <xdr:row>104</xdr:row>
          <xdr:rowOff>19050</xdr:rowOff>
        </xdr:to>
        <xdr:pic>
          <xdr:nvPicPr>
            <xdr:cNvPr id="12829" name="图片 34">
              <a:extLst>
                <a:ext uri="{FF2B5EF4-FFF2-40B4-BE49-F238E27FC236}">
                  <a16:creationId xmlns:a16="http://schemas.microsoft.com/office/drawing/2014/main" id="{00000000-0008-0000-0100-00001D320000}"/>
                </a:ext>
              </a:extLst>
            </xdr:cNvPr>
            <xdr:cNvPicPr>
              <a:picLocks noChangeAspect="1" noChangeArrowheads="1"/>
              <a:extLst>
                <a:ext uri="{84589F7E-364E-4C9E-8A38-B11213B215E9}">
                  <a14:cameraTool cellRange="营运能力!$A$250:$N$256" spid="_x0000_s20616"/>
                </a:ext>
              </a:extLst>
            </xdr:cNvPicPr>
          </xdr:nvPicPr>
          <xdr:blipFill>
            <a:blip xmlns:r="http://schemas.openxmlformats.org/officeDocument/2006/relationships" r:embed="rId13"/>
            <a:srcRect/>
            <a:stretch>
              <a:fillRect/>
            </a:stretch>
          </xdr:blipFill>
          <xdr:spPr bwMode="auto">
            <a:xfrm>
              <a:off x="1219200" y="1664017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104</xdr:row>
          <xdr:rowOff>28575</xdr:rowOff>
        </xdr:from>
        <xdr:to>
          <xdr:col>19</xdr:col>
          <xdr:colOff>238125</xdr:colOff>
          <xdr:row>111</xdr:row>
          <xdr:rowOff>38100</xdr:rowOff>
        </xdr:to>
        <xdr:pic>
          <xdr:nvPicPr>
            <xdr:cNvPr id="12830" name="图片 36">
              <a:extLst>
                <a:ext uri="{FF2B5EF4-FFF2-40B4-BE49-F238E27FC236}">
                  <a16:creationId xmlns:a16="http://schemas.microsoft.com/office/drawing/2014/main" id="{00000000-0008-0000-0100-00001E320000}"/>
                </a:ext>
              </a:extLst>
            </xdr:cNvPr>
            <xdr:cNvPicPr>
              <a:picLocks noChangeAspect="1" noChangeArrowheads="1"/>
              <a:extLst>
                <a:ext uri="{84589F7E-364E-4C9E-8A38-B11213B215E9}">
                  <a14:cameraTool cellRange="营运能力!$A$288:$N$294" spid="_x0000_s20617"/>
                </a:ext>
              </a:extLst>
            </xdr:cNvPicPr>
          </xdr:nvPicPr>
          <xdr:blipFill>
            <a:blip xmlns:r="http://schemas.openxmlformats.org/officeDocument/2006/relationships" r:embed="rId14"/>
            <a:srcRect/>
            <a:stretch>
              <a:fillRect/>
            </a:stretch>
          </xdr:blipFill>
          <xdr:spPr bwMode="auto">
            <a:xfrm>
              <a:off x="1257300" y="1785937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111</xdr:row>
          <xdr:rowOff>28575</xdr:rowOff>
        </xdr:from>
        <xdr:to>
          <xdr:col>19</xdr:col>
          <xdr:colOff>266700</xdr:colOff>
          <xdr:row>119</xdr:row>
          <xdr:rowOff>19050</xdr:rowOff>
        </xdr:to>
        <xdr:pic>
          <xdr:nvPicPr>
            <xdr:cNvPr id="12831" name="图片 38">
              <a:extLst>
                <a:ext uri="{FF2B5EF4-FFF2-40B4-BE49-F238E27FC236}">
                  <a16:creationId xmlns:a16="http://schemas.microsoft.com/office/drawing/2014/main" id="{00000000-0008-0000-0100-00001F320000}"/>
                </a:ext>
              </a:extLst>
            </xdr:cNvPr>
            <xdr:cNvPicPr>
              <a:picLocks noChangeAspect="1" noChangeArrowheads="1"/>
              <a:extLst>
                <a:ext uri="{84589F7E-364E-4C9E-8A38-B11213B215E9}">
                  <a14:cameraTool cellRange="盈利能力!$A$19:$N$25" spid="_x0000_s20618"/>
                </a:ext>
              </a:extLst>
            </xdr:cNvPicPr>
          </xdr:nvPicPr>
          <xdr:blipFill>
            <a:blip xmlns:r="http://schemas.openxmlformats.org/officeDocument/2006/relationships" r:embed="rId15"/>
            <a:srcRect/>
            <a:stretch>
              <a:fillRect/>
            </a:stretch>
          </xdr:blipFill>
          <xdr:spPr bwMode="auto">
            <a:xfrm>
              <a:off x="1285875" y="19059525"/>
              <a:ext cx="12011025" cy="1362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119</xdr:row>
          <xdr:rowOff>28575</xdr:rowOff>
        </xdr:from>
        <xdr:to>
          <xdr:col>19</xdr:col>
          <xdr:colOff>238125</xdr:colOff>
          <xdr:row>126</xdr:row>
          <xdr:rowOff>38100</xdr:rowOff>
        </xdr:to>
        <xdr:pic>
          <xdr:nvPicPr>
            <xdr:cNvPr id="12832" name="图片 40">
              <a:extLst>
                <a:ext uri="{FF2B5EF4-FFF2-40B4-BE49-F238E27FC236}">
                  <a16:creationId xmlns:a16="http://schemas.microsoft.com/office/drawing/2014/main" id="{00000000-0008-0000-0100-000020320000}"/>
                </a:ext>
              </a:extLst>
            </xdr:cNvPr>
            <xdr:cNvPicPr>
              <a:picLocks noChangeAspect="1" noChangeArrowheads="1"/>
              <a:extLst>
                <a:ext uri="{84589F7E-364E-4C9E-8A38-B11213B215E9}">
                  <a14:cameraTool cellRange="盈利能力!$A$57:$N$63" spid="_x0000_s20619"/>
                </a:ext>
              </a:extLst>
            </xdr:cNvPicPr>
          </xdr:nvPicPr>
          <xdr:blipFill>
            <a:blip xmlns:r="http://schemas.openxmlformats.org/officeDocument/2006/relationships" r:embed="rId16"/>
            <a:srcRect/>
            <a:stretch>
              <a:fillRect/>
            </a:stretch>
          </xdr:blipFill>
          <xdr:spPr bwMode="auto">
            <a:xfrm>
              <a:off x="1257300" y="204311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126</xdr:row>
          <xdr:rowOff>19050</xdr:rowOff>
        </xdr:from>
        <xdr:to>
          <xdr:col>19</xdr:col>
          <xdr:colOff>304800</xdr:colOff>
          <xdr:row>133</xdr:row>
          <xdr:rowOff>28575</xdr:rowOff>
        </xdr:to>
        <xdr:pic>
          <xdr:nvPicPr>
            <xdr:cNvPr id="12833" name="图片 42">
              <a:extLst>
                <a:ext uri="{FF2B5EF4-FFF2-40B4-BE49-F238E27FC236}">
                  <a16:creationId xmlns:a16="http://schemas.microsoft.com/office/drawing/2014/main" id="{00000000-0008-0000-0100-000021320000}"/>
                </a:ext>
              </a:extLst>
            </xdr:cNvPr>
            <xdr:cNvPicPr>
              <a:picLocks noChangeAspect="1" noChangeArrowheads="1"/>
              <a:extLst>
                <a:ext uri="{84589F7E-364E-4C9E-8A38-B11213B215E9}">
                  <a14:cameraTool cellRange="盈利能力!$A$95:$N$101" spid="_x0000_s20620"/>
                </a:ext>
              </a:extLst>
            </xdr:cNvPicPr>
          </xdr:nvPicPr>
          <xdr:blipFill>
            <a:blip xmlns:r="http://schemas.openxmlformats.org/officeDocument/2006/relationships" r:embed="rId17"/>
            <a:srcRect/>
            <a:stretch>
              <a:fillRect/>
            </a:stretch>
          </xdr:blipFill>
          <xdr:spPr bwMode="auto">
            <a:xfrm>
              <a:off x="1323975" y="2162175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133</xdr:row>
          <xdr:rowOff>28575</xdr:rowOff>
        </xdr:from>
        <xdr:to>
          <xdr:col>19</xdr:col>
          <xdr:colOff>266700</xdr:colOff>
          <xdr:row>140</xdr:row>
          <xdr:rowOff>38100</xdr:rowOff>
        </xdr:to>
        <xdr:pic>
          <xdr:nvPicPr>
            <xdr:cNvPr id="12834" name="图片 44">
              <a:extLst>
                <a:ext uri="{FF2B5EF4-FFF2-40B4-BE49-F238E27FC236}">
                  <a16:creationId xmlns:a16="http://schemas.microsoft.com/office/drawing/2014/main" id="{00000000-0008-0000-0100-000022320000}"/>
                </a:ext>
              </a:extLst>
            </xdr:cNvPr>
            <xdr:cNvPicPr>
              <a:picLocks noChangeAspect="1" noChangeArrowheads="1"/>
              <a:extLst>
                <a:ext uri="{84589F7E-364E-4C9E-8A38-B11213B215E9}">
                  <a14:cameraTool cellRange="盈利能力!$A$134:$N$140" spid="_x0000_s20621"/>
                </a:ext>
              </a:extLst>
            </xdr:cNvPicPr>
          </xdr:nvPicPr>
          <xdr:blipFill>
            <a:blip xmlns:r="http://schemas.openxmlformats.org/officeDocument/2006/relationships" r:embed="rId18"/>
            <a:srcRect/>
            <a:stretch>
              <a:fillRect/>
            </a:stretch>
          </xdr:blipFill>
          <xdr:spPr bwMode="auto">
            <a:xfrm>
              <a:off x="1285875" y="228314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140</xdr:row>
          <xdr:rowOff>47625</xdr:rowOff>
        </xdr:from>
        <xdr:to>
          <xdr:col>19</xdr:col>
          <xdr:colOff>257175</xdr:colOff>
          <xdr:row>147</xdr:row>
          <xdr:rowOff>57150</xdr:rowOff>
        </xdr:to>
        <xdr:pic>
          <xdr:nvPicPr>
            <xdr:cNvPr id="12835" name="图片 46">
              <a:extLst>
                <a:ext uri="{FF2B5EF4-FFF2-40B4-BE49-F238E27FC236}">
                  <a16:creationId xmlns:a16="http://schemas.microsoft.com/office/drawing/2014/main" id="{00000000-0008-0000-0100-000023320000}"/>
                </a:ext>
              </a:extLst>
            </xdr:cNvPr>
            <xdr:cNvPicPr>
              <a:picLocks noChangeAspect="1" noChangeArrowheads="1"/>
              <a:extLst>
                <a:ext uri="{84589F7E-364E-4C9E-8A38-B11213B215E9}">
                  <a14:cameraTool cellRange="盈利能力!$A$174:$N$180" spid="_x0000_s20622"/>
                </a:ext>
              </a:extLst>
            </xdr:cNvPicPr>
          </xdr:nvPicPr>
          <xdr:blipFill>
            <a:blip xmlns:r="http://schemas.openxmlformats.org/officeDocument/2006/relationships" r:embed="rId19"/>
            <a:srcRect/>
            <a:stretch>
              <a:fillRect/>
            </a:stretch>
          </xdr:blipFill>
          <xdr:spPr bwMode="auto">
            <a:xfrm>
              <a:off x="1276350" y="240506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147</xdr:row>
          <xdr:rowOff>47625</xdr:rowOff>
        </xdr:from>
        <xdr:to>
          <xdr:col>19</xdr:col>
          <xdr:colOff>266700</xdr:colOff>
          <xdr:row>154</xdr:row>
          <xdr:rowOff>57150</xdr:rowOff>
        </xdr:to>
        <xdr:pic>
          <xdr:nvPicPr>
            <xdr:cNvPr id="12836" name="图片 48">
              <a:extLst>
                <a:ext uri="{FF2B5EF4-FFF2-40B4-BE49-F238E27FC236}">
                  <a16:creationId xmlns:a16="http://schemas.microsoft.com/office/drawing/2014/main" id="{00000000-0008-0000-0100-000024320000}"/>
                </a:ext>
              </a:extLst>
            </xdr:cNvPr>
            <xdr:cNvPicPr>
              <a:picLocks noChangeAspect="1" noChangeArrowheads="1"/>
              <a:extLst>
                <a:ext uri="{84589F7E-364E-4C9E-8A38-B11213B215E9}">
                  <a14:cameraTool cellRange="盈利能力!$A$212:$N$218" spid="_x0000_s20623"/>
                </a:ext>
              </a:extLst>
            </xdr:cNvPicPr>
          </xdr:nvPicPr>
          <xdr:blipFill>
            <a:blip xmlns:r="http://schemas.openxmlformats.org/officeDocument/2006/relationships" r:embed="rId20"/>
            <a:srcRect/>
            <a:stretch>
              <a:fillRect/>
            </a:stretch>
          </xdr:blipFill>
          <xdr:spPr bwMode="auto">
            <a:xfrm>
              <a:off x="1285875" y="2525077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154</xdr:row>
          <xdr:rowOff>57150</xdr:rowOff>
        </xdr:from>
        <xdr:to>
          <xdr:col>19</xdr:col>
          <xdr:colOff>257175</xdr:colOff>
          <xdr:row>161</xdr:row>
          <xdr:rowOff>66675</xdr:rowOff>
        </xdr:to>
        <xdr:pic>
          <xdr:nvPicPr>
            <xdr:cNvPr id="12837" name="图片 50">
              <a:extLst>
                <a:ext uri="{FF2B5EF4-FFF2-40B4-BE49-F238E27FC236}">
                  <a16:creationId xmlns:a16="http://schemas.microsoft.com/office/drawing/2014/main" id="{00000000-0008-0000-0100-000025320000}"/>
                </a:ext>
              </a:extLst>
            </xdr:cNvPr>
            <xdr:cNvPicPr>
              <a:picLocks noChangeAspect="1" noChangeArrowheads="1"/>
              <a:extLst>
                <a:ext uri="{84589F7E-364E-4C9E-8A38-B11213B215E9}">
                  <a14:cameraTool cellRange="盈利能力!$A$250:$N$256" spid="_x0000_s20624"/>
                </a:ext>
              </a:extLst>
            </xdr:cNvPicPr>
          </xdr:nvPicPr>
          <xdr:blipFill>
            <a:blip xmlns:r="http://schemas.openxmlformats.org/officeDocument/2006/relationships" r:embed="rId21"/>
            <a:srcRect/>
            <a:stretch>
              <a:fillRect/>
            </a:stretch>
          </xdr:blipFill>
          <xdr:spPr bwMode="auto">
            <a:xfrm>
              <a:off x="1276350" y="26460450"/>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161</xdr:row>
          <xdr:rowOff>66675</xdr:rowOff>
        </xdr:from>
        <xdr:to>
          <xdr:col>19</xdr:col>
          <xdr:colOff>257175</xdr:colOff>
          <xdr:row>168</xdr:row>
          <xdr:rowOff>76200</xdr:rowOff>
        </xdr:to>
        <xdr:pic>
          <xdr:nvPicPr>
            <xdr:cNvPr id="12838" name="图片 52">
              <a:extLst>
                <a:ext uri="{FF2B5EF4-FFF2-40B4-BE49-F238E27FC236}">
                  <a16:creationId xmlns:a16="http://schemas.microsoft.com/office/drawing/2014/main" id="{00000000-0008-0000-0100-000026320000}"/>
                </a:ext>
              </a:extLst>
            </xdr:cNvPr>
            <xdr:cNvPicPr>
              <a:picLocks noChangeAspect="1" noChangeArrowheads="1"/>
              <a:extLst>
                <a:ext uri="{84589F7E-364E-4C9E-8A38-B11213B215E9}">
                  <a14:cameraTool cellRange="盈利能力!$A$288:$N$294" spid="_x0000_s20625"/>
                </a:ext>
              </a:extLst>
            </xdr:cNvPicPr>
          </xdr:nvPicPr>
          <xdr:blipFill>
            <a:blip xmlns:r="http://schemas.openxmlformats.org/officeDocument/2006/relationships" r:embed="rId22"/>
            <a:srcRect/>
            <a:stretch>
              <a:fillRect/>
            </a:stretch>
          </xdr:blipFill>
          <xdr:spPr bwMode="auto">
            <a:xfrm>
              <a:off x="1276350" y="27670125"/>
              <a:ext cx="12011025" cy="1209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38100</xdr:colOff>
      <xdr:row>0</xdr:row>
      <xdr:rowOff>123824</xdr:rowOff>
    </xdr:from>
    <xdr:ext cx="4845983" cy="885825"/>
    <xdr:sp macro="" textlink="">
      <xdr:nvSpPr>
        <xdr:cNvPr id="2" name="矩形 1">
          <a:extLst>
            <a:ext uri="{FF2B5EF4-FFF2-40B4-BE49-F238E27FC236}">
              <a16:creationId xmlns:a16="http://schemas.microsoft.com/office/drawing/2014/main" id="{00000000-0008-0000-0200-000002000000}"/>
            </a:ext>
          </a:extLst>
        </xdr:cNvPr>
        <xdr:cNvSpPr/>
      </xdr:nvSpPr>
      <xdr:spPr>
        <a:xfrm>
          <a:off x="4067175" y="123824"/>
          <a:ext cx="4845983" cy="885825"/>
        </a:xfrm>
        <a:prstGeom prst="rect">
          <a:avLst/>
        </a:prstGeom>
        <a:noFill/>
        <a:effectLst/>
      </xdr:spPr>
      <xdr:txBody>
        <a:bodyPr wrap="none" lIns="91440" tIns="45720" rIns="91440" bIns="45720" anchor="ctr">
          <a:noAutofit/>
        </a:bodyPr>
        <a:lstStyle/>
        <a:p>
          <a:pPr algn="l"/>
          <a:r>
            <a:rPr lang="zh-CN" altLang="en-US" sz="5400" b="1" cap="none" spc="0">
              <a:ln w="22225">
                <a:solidFill>
                  <a:schemeClr val="accent2"/>
                </a:solidFill>
                <a:prstDash val="solid"/>
              </a:ln>
              <a:solidFill>
                <a:srgbClr val="FF0000"/>
              </a:solidFill>
              <a:effectLst/>
            </a:rPr>
            <a:t>     偿债能力</a:t>
          </a:r>
          <a:endParaRPr lang="en-US" altLang="zh-CN" sz="5400" b="1" cap="none" spc="0">
            <a:ln w="22225">
              <a:solidFill>
                <a:schemeClr val="accent2"/>
              </a:solidFill>
              <a:prstDash val="solid"/>
            </a:ln>
            <a:solidFill>
              <a:srgbClr val="FF0000"/>
            </a:solidFill>
            <a:effectLst/>
          </a:endParaRPr>
        </a:p>
      </xdr:txBody>
    </xdr:sp>
    <xdr:clientData/>
  </xdr:oneCellAnchor>
  <xdr:twoCellAnchor>
    <xdr:from>
      <xdr:col>1</xdr:col>
      <xdr:colOff>647700</xdr:colOff>
      <xdr:row>103</xdr:row>
      <xdr:rowOff>85725</xdr:rowOff>
    </xdr:from>
    <xdr:to>
      <xdr:col>13</xdr:col>
      <xdr:colOff>561975</xdr:colOff>
      <xdr:row>122</xdr:row>
      <xdr:rowOff>104775</xdr:rowOff>
    </xdr:to>
    <xdr:graphicFrame macro="">
      <xdr:nvGraphicFramePr>
        <xdr:cNvPr id="13321" name="图表 6">
          <a:extLst>
            <a:ext uri="{FF2B5EF4-FFF2-40B4-BE49-F238E27FC236}">
              <a16:creationId xmlns:a16="http://schemas.microsoft.com/office/drawing/2014/main" id="{00000000-0008-0000-0200-000009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647700</xdr:colOff>
      <xdr:row>142</xdr:row>
      <xdr:rowOff>85725</xdr:rowOff>
    </xdr:from>
    <xdr:to>
      <xdr:col>13</xdr:col>
      <xdr:colOff>561975</xdr:colOff>
      <xdr:row>161</xdr:row>
      <xdr:rowOff>104775</xdr:rowOff>
    </xdr:to>
    <xdr:graphicFrame macro="">
      <xdr:nvGraphicFramePr>
        <xdr:cNvPr id="13322" name="图表 9">
          <a:extLst>
            <a:ext uri="{FF2B5EF4-FFF2-40B4-BE49-F238E27FC236}">
              <a16:creationId xmlns:a16="http://schemas.microsoft.com/office/drawing/2014/main" id="{00000000-0008-0000-0200-00000A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647700</xdr:colOff>
      <xdr:row>182</xdr:row>
      <xdr:rowOff>85725</xdr:rowOff>
    </xdr:from>
    <xdr:to>
      <xdr:col>13</xdr:col>
      <xdr:colOff>561975</xdr:colOff>
      <xdr:row>201</xdr:row>
      <xdr:rowOff>104775</xdr:rowOff>
    </xdr:to>
    <xdr:graphicFrame macro="">
      <xdr:nvGraphicFramePr>
        <xdr:cNvPr id="13323" name="图表 10">
          <a:extLst>
            <a:ext uri="{FF2B5EF4-FFF2-40B4-BE49-F238E27FC236}">
              <a16:creationId xmlns:a16="http://schemas.microsoft.com/office/drawing/2014/main" id="{00000000-0008-0000-0200-00000B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647700</xdr:colOff>
      <xdr:row>220</xdr:row>
      <xdr:rowOff>85725</xdr:rowOff>
    </xdr:from>
    <xdr:to>
      <xdr:col>13</xdr:col>
      <xdr:colOff>561975</xdr:colOff>
      <xdr:row>239</xdr:row>
      <xdr:rowOff>104775</xdr:rowOff>
    </xdr:to>
    <xdr:graphicFrame macro="">
      <xdr:nvGraphicFramePr>
        <xdr:cNvPr id="13324" name="图表 11">
          <a:extLst>
            <a:ext uri="{FF2B5EF4-FFF2-40B4-BE49-F238E27FC236}">
              <a16:creationId xmlns:a16="http://schemas.microsoft.com/office/drawing/2014/main" id="{00000000-0008-0000-0200-00000C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647700</xdr:colOff>
      <xdr:row>23</xdr:row>
      <xdr:rowOff>104775</xdr:rowOff>
    </xdr:from>
    <xdr:to>
      <xdr:col>12</xdr:col>
      <xdr:colOff>876300</xdr:colOff>
      <xdr:row>42</xdr:row>
      <xdr:rowOff>85725</xdr:rowOff>
    </xdr:to>
    <xdr:graphicFrame macro="">
      <xdr:nvGraphicFramePr>
        <xdr:cNvPr id="13325" name="图表 2">
          <a:extLst>
            <a:ext uri="{FF2B5EF4-FFF2-40B4-BE49-F238E27FC236}">
              <a16:creationId xmlns:a16="http://schemas.microsoft.com/office/drawing/2014/main" id="{00000000-0008-0000-0200-00000D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657225</xdr:colOff>
      <xdr:row>61</xdr:row>
      <xdr:rowOff>57150</xdr:rowOff>
    </xdr:from>
    <xdr:to>
      <xdr:col>13</xdr:col>
      <xdr:colOff>876300</xdr:colOff>
      <xdr:row>81</xdr:row>
      <xdr:rowOff>152400</xdr:rowOff>
    </xdr:to>
    <xdr:graphicFrame macro="">
      <xdr:nvGraphicFramePr>
        <xdr:cNvPr id="13326" name="图表 4">
          <a:extLst>
            <a:ext uri="{FF2B5EF4-FFF2-40B4-BE49-F238E27FC236}">
              <a16:creationId xmlns:a16="http://schemas.microsoft.com/office/drawing/2014/main" id="{00000000-0008-0000-0200-00000E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4</xdr:col>
      <xdr:colOff>847725</xdr:colOff>
      <xdr:row>0</xdr:row>
      <xdr:rowOff>133350</xdr:rowOff>
    </xdr:from>
    <xdr:ext cx="5122208" cy="933450"/>
    <xdr:sp macro="" textlink="">
      <xdr:nvSpPr>
        <xdr:cNvPr id="2" name="矩形 1">
          <a:extLst>
            <a:ext uri="{FF2B5EF4-FFF2-40B4-BE49-F238E27FC236}">
              <a16:creationId xmlns:a16="http://schemas.microsoft.com/office/drawing/2014/main" id="{00000000-0008-0000-0300-000002000000}"/>
            </a:ext>
          </a:extLst>
        </xdr:cNvPr>
        <xdr:cNvSpPr/>
      </xdr:nvSpPr>
      <xdr:spPr>
        <a:xfrm>
          <a:off x="3990975" y="133350"/>
          <a:ext cx="5122208" cy="933450"/>
        </a:xfrm>
        <a:prstGeom prst="rect">
          <a:avLst/>
        </a:prstGeom>
        <a:noFill/>
        <a:effectLst/>
      </xdr:spPr>
      <xdr:txBody>
        <a:bodyPr wrap="none" lIns="91440" tIns="45720" rIns="91440" bIns="45720" anchor="ctr">
          <a:noAutofit/>
        </a:bodyPr>
        <a:lstStyle/>
        <a:p>
          <a:pPr algn="ctr"/>
          <a:r>
            <a:rPr lang="zh-CN" altLang="en-US" sz="5400" b="1" cap="none" spc="0">
              <a:ln w="22225">
                <a:solidFill>
                  <a:schemeClr val="accent2"/>
                </a:solidFill>
                <a:prstDash val="solid"/>
              </a:ln>
              <a:solidFill>
                <a:srgbClr val="FF0000"/>
              </a:solidFill>
              <a:effectLst/>
            </a:rPr>
            <a:t>营运能力</a:t>
          </a:r>
          <a:endParaRPr lang="en-US" altLang="zh-CN" sz="5400" b="1" cap="none" spc="0">
            <a:ln w="22225">
              <a:solidFill>
                <a:schemeClr val="accent2"/>
              </a:solidFill>
              <a:prstDash val="solid"/>
            </a:ln>
            <a:solidFill>
              <a:srgbClr val="FF0000"/>
            </a:solidFill>
            <a:effectLst/>
          </a:endParaRPr>
        </a:p>
      </xdr:txBody>
    </xdr:sp>
    <xdr:clientData/>
  </xdr:oneCellAnchor>
  <xdr:twoCellAnchor>
    <xdr:from>
      <xdr:col>1</xdr:col>
      <xdr:colOff>647700</xdr:colOff>
      <xdr:row>25</xdr:row>
      <xdr:rowOff>85725</xdr:rowOff>
    </xdr:from>
    <xdr:to>
      <xdr:col>13</xdr:col>
      <xdr:colOff>561975</xdr:colOff>
      <xdr:row>44</xdr:row>
      <xdr:rowOff>104775</xdr:rowOff>
    </xdr:to>
    <xdr:graphicFrame macro="">
      <xdr:nvGraphicFramePr>
        <xdr:cNvPr id="14347" name="图表 2">
          <a:extLst>
            <a:ext uri="{FF2B5EF4-FFF2-40B4-BE49-F238E27FC236}">
              <a16:creationId xmlns:a16="http://schemas.microsoft.com/office/drawing/2014/main" id="{00000000-0008-0000-0300-00000B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647700</xdr:colOff>
      <xdr:row>63</xdr:row>
      <xdr:rowOff>85725</xdr:rowOff>
    </xdr:from>
    <xdr:to>
      <xdr:col>13</xdr:col>
      <xdr:colOff>561975</xdr:colOff>
      <xdr:row>82</xdr:row>
      <xdr:rowOff>104775</xdr:rowOff>
    </xdr:to>
    <xdr:graphicFrame macro="">
      <xdr:nvGraphicFramePr>
        <xdr:cNvPr id="14348" name="图表 3">
          <a:extLst>
            <a:ext uri="{FF2B5EF4-FFF2-40B4-BE49-F238E27FC236}">
              <a16:creationId xmlns:a16="http://schemas.microsoft.com/office/drawing/2014/main" id="{00000000-0008-0000-0300-00000C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647700</xdr:colOff>
      <xdr:row>101</xdr:row>
      <xdr:rowOff>85725</xdr:rowOff>
    </xdr:from>
    <xdr:to>
      <xdr:col>13</xdr:col>
      <xdr:colOff>561975</xdr:colOff>
      <xdr:row>120</xdr:row>
      <xdr:rowOff>104775</xdr:rowOff>
    </xdr:to>
    <xdr:graphicFrame macro="">
      <xdr:nvGraphicFramePr>
        <xdr:cNvPr id="14349" name="图表 4">
          <a:extLst>
            <a:ext uri="{FF2B5EF4-FFF2-40B4-BE49-F238E27FC236}">
              <a16:creationId xmlns:a16="http://schemas.microsoft.com/office/drawing/2014/main" id="{00000000-0008-0000-0300-00000D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647700</xdr:colOff>
      <xdr:row>140</xdr:row>
      <xdr:rowOff>85725</xdr:rowOff>
    </xdr:from>
    <xdr:to>
      <xdr:col>13</xdr:col>
      <xdr:colOff>561975</xdr:colOff>
      <xdr:row>159</xdr:row>
      <xdr:rowOff>104775</xdr:rowOff>
    </xdr:to>
    <xdr:graphicFrame macro="">
      <xdr:nvGraphicFramePr>
        <xdr:cNvPr id="14350" name="图表 5">
          <a:extLst>
            <a:ext uri="{FF2B5EF4-FFF2-40B4-BE49-F238E27FC236}">
              <a16:creationId xmlns:a16="http://schemas.microsoft.com/office/drawing/2014/main" id="{00000000-0008-0000-0300-00000E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647700</xdr:colOff>
      <xdr:row>180</xdr:row>
      <xdr:rowOff>85725</xdr:rowOff>
    </xdr:from>
    <xdr:to>
      <xdr:col>13</xdr:col>
      <xdr:colOff>561975</xdr:colOff>
      <xdr:row>199</xdr:row>
      <xdr:rowOff>104775</xdr:rowOff>
    </xdr:to>
    <xdr:graphicFrame macro="">
      <xdr:nvGraphicFramePr>
        <xdr:cNvPr id="14351" name="图表 6">
          <a:extLst>
            <a:ext uri="{FF2B5EF4-FFF2-40B4-BE49-F238E27FC236}">
              <a16:creationId xmlns:a16="http://schemas.microsoft.com/office/drawing/2014/main" id="{00000000-0008-0000-0300-00000F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647700</xdr:colOff>
      <xdr:row>218</xdr:row>
      <xdr:rowOff>85725</xdr:rowOff>
    </xdr:from>
    <xdr:to>
      <xdr:col>13</xdr:col>
      <xdr:colOff>561975</xdr:colOff>
      <xdr:row>237</xdr:row>
      <xdr:rowOff>104775</xdr:rowOff>
    </xdr:to>
    <xdr:graphicFrame macro="">
      <xdr:nvGraphicFramePr>
        <xdr:cNvPr id="14352" name="图表 7">
          <a:extLst>
            <a:ext uri="{FF2B5EF4-FFF2-40B4-BE49-F238E27FC236}">
              <a16:creationId xmlns:a16="http://schemas.microsoft.com/office/drawing/2014/main" id="{00000000-0008-0000-0300-000010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647700</xdr:colOff>
      <xdr:row>256</xdr:row>
      <xdr:rowOff>85725</xdr:rowOff>
    </xdr:from>
    <xdr:to>
      <xdr:col>13</xdr:col>
      <xdr:colOff>561975</xdr:colOff>
      <xdr:row>275</xdr:row>
      <xdr:rowOff>104775</xdr:rowOff>
    </xdr:to>
    <xdr:graphicFrame macro="">
      <xdr:nvGraphicFramePr>
        <xdr:cNvPr id="14353" name="图表 13">
          <a:extLst>
            <a:ext uri="{FF2B5EF4-FFF2-40B4-BE49-F238E27FC236}">
              <a16:creationId xmlns:a16="http://schemas.microsoft.com/office/drawing/2014/main" id="{00000000-0008-0000-0300-000011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647700</xdr:colOff>
      <xdr:row>294</xdr:row>
      <xdr:rowOff>85725</xdr:rowOff>
    </xdr:from>
    <xdr:to>
      <xdr:col>13</xdr:col>
      <xdr:colOff>561975</xdr:colOff>
      <xdr:row>313</xdr:row>
      <xdr:rowOff>104775</xdr:rowOff>
    </xdr:to>
    <xdr:graphicFrame macro="">
      <xdr:nvGraphicFramePr>
        <xdr:cNvPr id="14354" name="图表 14">
          <a:extLst>
            <a:ext uri="{FF2B5EF4-FFF2-40B4-BE49-F238E27FC236}">
              <a16:creationId xmlns:a16="http://schemas.microsoft.com/office/drawing/2014/main" id="{00000000-0008-0000-0300-000012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5</xdr:col>
      <xdr:colOff>57150</xdr:colOff>
      <xdr:row>1</xdr:row>
      <xdr:rowOff>0</xdr:rowOff>
    </xdr:from>
    <xdr:ext cx="5046008" cy="933450"/>
    <xdr:sp macro="" textlink="">
      <xdr:nvSpPr>
        <xdr:cNvPr id="2" name="矩形 1">
          <a:extLst>
            <a:ext uri="{FF2B5EF4-FFF2-40B4-BE49-F238E27FC236}">
              <a16:creationId xmlns:a16="http://schemas.microsoft.com/office/drawing/2014/main" id="{00000000-0008-0000-0400-000002000000}"/>
            </a:ext>
          </a:extLst>
        </xdr:cNvPr>
        <xdr:cNvSpPr/>
      </xdr:nvSpPr>
      <xdr:spPr>
        <a:xfrm>
          <a:off x="4086225" y="171450"/>
          <a:ext cx="5046008" cy="933450"/>
        </a:xfrm>
        <a:prstGeom prst="rect">
          <a:avLst/>
        </a:prstGeom>
        <a:noFill/>
        <a:effectLst/>
      </xdr:spPr>
      <xdr:txBody>
        <a:bodyPr wrap="none" lIns="91440" tIns="45720" rIns="91440" bIns="45720" anchor="ctr">
          <a:noAutofit/>
        </a:bodyPr>
        <a:lstStyle/>
        <a:p>
          <a:pPr algn="ctr"/>
          <a:r>
            <a:rPr lang="zh-CN" altLang="en-US" sz="5400" b="1" cap="none" spc="0">
              <a:ln w="22225">
                <a:solidFill>
                  <a:schemeClr val="accent2"/>
                </a:solidFill>
                <a:prstDash val="solid"/>
              </a:ln>
              <a:solidFill>
                <a:srgbClr val="FF0000"/>
              </a:solidFill>
              <a:effectLst/>
            </a:rPr>
            <a:t>盈利能力</a:t>
          </a:r>
          <a:endParaRPr lang="en-US" altLang="zh-CN" sz="5400" b="1" cap="none" spc="0">
            <a:ln w="22225">
              <a:solidFill>
                <a:schemeClr val="accent2"/>
              </a:solidFill>
              <a:prstDash val="solid"/>
            </a:ln>
            <a:solidFill>
              <a:srgbClr val="FF0000"/>
            </a:solidFill>
            <a:effectLst/>
          </a:endParaRPr>
        </a:p>
      </xdr:txBody>
    </xdr:sp>
    <xdr:clientData/>
  </xdr:oneCellAnchor>
  <xdr:twoCellAnchor>
    <xdr:from>
      <xdr:col>1</xdr:col>
      <xdr:colOff>647700</xdr:colOff>
      <xdr:row>25</xdr:row>
      <xdr:rowOff>85725</xdr:rowOff>
    </xdr:from>
    <xdr:to>
      <xdr:col>13</xdr:col>
      <xdr:colOff>561975</xdr:colOff>
      <xdr:row>44</xdr:row>
      <xdr:rowOff>104775</xdr:rowOff>
    </xdr:to>
    <xdr:graphicFrame macro="">
      <xdr:nvGraphicFramePr>
        <xdr:cNvPr id="15371" name="图表 2">
          <a:extLst>
            <a:ext uri="{FF2B5EF4-FFF2-40B4-BE49-F238E27FC236}">
              <a16:creationId xmlns:a16="http://schemas.microsoft.com/office/drawing/2014/main" id="{00000000-0008-0000-0400-00000B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647700</xdr:colOff>
      <xdr:row>63</xdr:row>
      <xdr:rowOff>85725</xdr:rowOff>
    </xdr:from>
    <xdr:to>
      <xdr:col>13</xdr:col>
      <xdr:colOff>561975</xdr:colOff>
      <xdr:row>82</xdr:row>
      <xdr:rowOff>104775</xdr:rowOff>
    </xdr:to>
    <xdr:graphicFrame macro="">
      <xdr:nvGraphicFramePr>
        <xdr:cNvPr id="15372" name="图表 3">
          <a:extLst>
            <a:ext uri="{FF2B5EF4-FFF2-40B4-BE49-F238E27FC236}">
              <a16:creationId xmlns:a16="http://schemas.microsoft.com/office/drawing/2014/main" id="{00000000-0008-0000-0400-00000C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647700</xdr:colOff>
      <xdr:row>101</xdr:row>
      <xdr:rowOff>85725</xdr:rowOff>
    </xdr:from>
    <xdr:to>
      <xdr:col>13</xdr:col>
      <xdr:colOff>561975</xdr:colOff>
      <xdr:row>120</xdr:row>
      <xdr:rowOff>104775</xdr:rowOff>
    </xdr:to>
    <xdr:graphicFrame macro="">
      <xdr:nvGraphicFramePr>
        <xdr:cNvPr id="15373" name="图表 4">
          <a:extLst>
            <a:ext uri="{FF2B5EF4-FFF2-40B4-BE49-F238E27FC236}">
              <a16:creationId xmlns:a16="http://schemas.microsoft.com/office/drawing/2014/main" id="{00000000-0008-0000-0400-00000D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647700</xdr:colOff>
      <xdr:row>140</xdr:row>
      <xdr:rowOff>85725</xdr:rowOff>
    </xdr:from>
    <xdr:to>
      <xdr:col>13</xdr:col>
      <xdr:colOff>561975</xdr:colOff>
      <xdr:row>159</xdr:row>
      <xdr:rowOff>104775</xdr:rowOff>
    </xdr:to>
    <xdr:graphicFrame macro="">
      <xdr:nvGraphicFramePr>
        <xdr:cNvPr id="15374" name="图表 5">
          <a:extLst>
            <a:ext uri="{FF2B5EF4-FFF2-40B4-BE49-F238E27FC236}">
              <a16:creationId xmlns:a16="http://schemas.microsoft.com/office/drawing/2014/main" id="{00000000-0008-0000-0400-00000E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647700</xdr:colOff>
      <xdr:row>180</xdr:row>
      <xdr:rowOff>85725</xdr:rowOff>
    </xdr:from>
    <xdr:to>
      <xdr:col>13</xdr:col>
      <xdr:colOff>561975</xdr:colOff>
      <xdr:row>199</xdr:row>
      <xdr:rowOff>104775</xdr:rowOff>
    </xdr:to>
    <xdr:graphicFrame macro="">
      <xdr:nvGraphicFramePr>
        <xdr:cNvPr id="15375" name="图表 6">
          <a:extLst>
            <a:ext uri="{FF2B5EF4-FFF2-40B4-BE49-F238E27FC236}">
              <a16:creationId xmlns:a16="http://schemas.microsoft.com/office/drawing/2014/main" id="{00000000-0008-0000-0400-00000F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647700</xdr:colOff>
      <xdr:row>218</xdr:row>
      <xdr:rowOff>85725</xdr:rowOff>
    </xdr:from>
    <xdr:to>
      <xdr:col>13</xdr:col>
      <xdr:colOff>561975</xdr:colOff>
      <xdr:row>237</xdr:row>
      <xdr:rowOff>104775</xdr:rowOff>
    </xdr:to>
    <xdr:graphicFrame macro="">
      <xdr:nvGraphicFramePr>
        <xdr:cNvPr id="15376" name="图表 7">
          <a:extLst>
            <a:ext uri="{FF2B5EF4-FFF2-40B4-BE49-F238E27FC236}">
              <a16:creationId xmlns:a16="http://schemas.microsoft.com/office/drawing/2014/main" id="{00000000-0008-0000-0400-000010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647700</xdr:colOff>
      <xdr:row>256</xdr:row>
      <xdr:rowOff>85725</xdr:rowOff>
    </xdr:from>
    <xdr:to>
      <xdr:col>13</xdr:col>
      <xdr:colOff>561975</xdr:colOff>
      <xdr:row>275</xdr:row>
      <xdr:rowOff>104775</xdr:rowOff>
    </xdr:to>
    <xdr:graphicFrame macro="">
      <xdr:nvGraphicFramePr>
        <xdr:cNvPr id="15377" name="图表 8">
          <a:extLst>
            <a:ext uri="{FF2B5EF4-FFF2-40B4-BE49-F238E27FC236}">
              <a16:creationId xmlns:a16="http://schemas.microsoft.com/office/drawing/2014/main" id="{00000000-0008-0000-0400-000011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647700</xdr:colOff>
      <xdr:row>294</xdr:row>
      <xdr:rowOff>85725</xdr:rowOff>
    </xdr:from>
    <xdr:to>
      <xdr:col>13</xdr:col>
      <xdr:colOff>561975</xdr:colOff>
      <xdr:row>313</xdr:row>
      <xdr:rowOff>104775</xdr:rowOff>
    </xdr:to>
    <xdr:graphicFrame macro="">
      <xdr:nvGraphicFramePr>
        <xdr:cNvPr id="15378" name="图表 9">
          <a:extLst>
            <a:ext uri="{FF2B5EF4-FFF2-40B4-BE49-F238E27FC236}">
              <a16:creationId xmlns:a16="http://schemas.microsoft.com/office/drawing/2014/main" id="{00000000-0008-0000-0400-000012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457200</xdr:colOff>
      <xdr:row>1</xdr:row>
      <xdr:rowOff>76200</xdr:rowOff>
    </xdr:from>
    <xdr:to>
      <xdr:col>10</xdr:col>
      <xdr:colOff>581025</xdr:colOff>
      <xdr:row>24</xdr:row>
      <xdr:rowOff>66675</xdr:rowOff>
    </xdr:to>
    <xdr:pic>
      <xdr:nvPicPr>
        <xdr:cNvPr id="16389" name="图片 2">
          <a:extLst>
            <a:ext uri="{FF2B5EF4-FFF2-40B4-BE49-F238E27FC236}">
              <a16:creationId xmlns:a16="http://schemas.microsoft.com/office/drawing/2014/main" id="{00000000-0008-0000-0500-0000054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247650"/>
          <a:ext cx="8201025" cy="393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25</xdr:row>
      <xdr:rowOff>114300</xdr:rowOff>
    </xdr:from>
    <xdr:to>
      <xdr:col>10</xdr:col>
      <xdr:colOff>914400</xdr:colOff>
      <xdr:row>56</xdr:row>
      <xdr:rowOff>123825</xdr:rowOff>
    </xdr:to>
    <xdr:pic>
      <xdr:nvPicPr>
        <xdr:cNvPr id="16390" name="图片 4">
          <a:extLst>
            <a:ext uri="{FF2B5EF4-FFF2-40B4-BE49-F238E27FC236}">
              <a16:creationId xmlns:a16="http://schemas.microsoft.com/office/drawing/2014/main" id="{00000000-0008-0000-0500-0000064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43000" y="4400550"/>
          <a:ext cx="9220200" cy="5324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552450</xdr:colOff>
      <xdr:row>96</xdr:row>
      <xdr:rowOff>152400</xdr:rowOff>
    </xdr:from>
    <xdr:to>
      <xdr:col>10</xdr:col>
      <xdr:colOff>828675</xdr:colOff>
      <xdr:row>106</xdr:row>
      <xdr:rowOff>114300</xdr:rowOff>
    </xdr:to>
    <xdr:pic>
      <xdr:nvPicPr>
        <xdr:cNvPr id="16391" name="图片 1">
          <a:extLst>
            <a:ext uri="{FF2B5EF4-FFF2-40B4-BE49-F238E27FC236}">
              <a16:creationId xmlns:a16="http://schemas.microsoft.com/office/drawing/2014/main" id="{00000000-0008-0000-0500-0000074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0" y="16868775"/>
          <a:ext cx="9039225" cy="167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333375</xdr:colOff>
      <xdr:row>65</xdr:row>
      <xdr:rowOff>57150</xdr:rowOff>
    </xdr:from>
    <xdr:to>
      <xdr:col>14</xdr:col>
      <xdr:colOff>485775</xdr:colOff>
      <xdr:row>73</xdr:row>
      <xdr:rowOff>152400</xdr:rowOff>
    </xdr:to>
    <xdr:pic>
      <xdr:nvPicPr>
        <xdr:cNvPr id="16392" name="图片 3">
          <a:extLst>
            <a:ext uri="{FF2B5EF4-FFF2-40B4-BE49-F238E27FC236}">
              <a16:creationId xmlns:a16="http://schemas.microsoft.com/office/drawing/2014/main" id="{00000000-0008-0000-0500-0000084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19175" y="11201400"/>
          <a:ext cx="12182475" cy="146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astmoney/Choice/Office/Excel/EM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EM_BK_FA_ALL_APTURNDAYS"/>
      <definedName name="EM_BK_FA_ALL_ARTURN"/>
      <definedName name="EM_BK_FA_ALL_ARTURNDAYS"/>
      <definedName name="EM_BK_FA_ALL_ASSETSTURN"/>
      <definedName name="EM_BK_FA_ALL_BPS"/>
      <definedName name="EM_BK_FA_ALL_CURRENT"/>
      <definedName name="EM_BK_FA_ALL_CURRENTDEBTTODEBT"/>
      <definedName name="EM_BK_FA_ALL_DEBTTOASSETS"/>
      <definedName name="EM_BK_FA_ALL_DEBTTOEQUITY"/>
      <definedName name="EM_BK_FA_ALL_FATURN"/>
      <definedName name="EM_BK_FA_ALL_GROSSPROFITMARGIN"/>
      <definedName name="EM_BK_FA_ALL_INVTURN"/>
      <definedName name="EM_BK_FA_ALL_INVTURNDAYS"/>
      <definedName name="EM_BK_FA_ALL_LONGDEBTODEBT"/>
      <definedName name="EM_BK_FA_ALL_NETPROFITMARGIN"/>
      <definedName name="EM_BK_FA_ALL_QUICK"/>
      <definedName name="EM_BK_FA_ALL_ROE"/>
      <definedName name="EM_BK_FA_ALL_TURNDAYS"/>
      <definedName name="EM_BK_FA_ALL_YOY_OR"/>
      <definedName name="EM_BK_FA_ALL_YOYNETPROFIT"/>
      <definedName name="EM_BK_FA_AVG_EPS_BASIC"/>
      <definedName name="EM_BK_SCOUNT"/>
      <definedName name="EM_REALTIMEQUOT"/>
      <definedName name="EM_S_FA_APTURNDAYS"/>
      <definedName name="EM_S_FA_ARTURN"/>
      <definedName name="EM_S_FA_ARTURNDAYS"/>
      <definedName name="EM_S_FA_ASSETSTURN"/>
      <definedName name="EM_S_FA_BPS"/>
      <definedName name="EM_S_FA_CURRENT"/>
      <definedName name="EM_S_FA_CURRENTDEBTTODEBT"/>
      <definedName name="EM_S_FA_DEBTTOASSETS"/>
      <definedName name="EM_S_FA_DEBTTOEQUITY"/>
      <definedName name="EM_S_FA_EPS_BASIC"/>
      <definedName name="EM_S_FA_FATURN"/>
      <definedName name="EM_S_FA_GROSSPROFITMARGIN"/>
      <definedName name="EM_S_FA_INVTURN"/>
      <definedName name="EM_S_FA_INVTURNDAYS"/>
      <definedName name="EM_S_FA_LONGDEBTODEBT"/>
      <definedName name="EM_S_FA_NETPROFITMARGIN"/>
      <definedName name="EM_S_FA_QUICK"/>
      <definedName name="EM_S_FA_ROE"/>
      <definedName name="EM_S_FA_TURNDAYS"/>
      <definedName name="EM_S_FA_YOY_OR"/>
      <definedName name="EM_S_FA_YOYNETPROFIT"/>
      <definedName name="EM_S_INFO_INDUSTRY_EM2016"/>
      <definedName name="EM_S_INFO_NAME"/>
      <definedName name="EM_S_IPO_LISTEDDATE"/>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1:O27"/>
  <sheetViews>
    <sheetView showGridLines="0" topLeftCell="A4" workbookViewId="0">
      <selection activeCell="G17" sqref="G17:H17"/>
    </sheetView>
  </sheetViews>
  <sheetFormatPr defaultRowHeight="14.35"/>
  <sheetData>
    <row r="11" spans="1:15">
      <c r="A11" s="31" t="s">
        <v>191</v>
      </c>
      <c r="O11" s="35"/>
    </row>
    <row r="12" spans="1:15">
      <c r="A12" s="32" t="s">
        <v>190</v>
      </c>
      <c r="E12" s="57"/>
      <c r="F12" s="57"/>
      <c r="G12" s="57"/>
      <c r="H12" s="57"/>
      <c r="I12" s="57"/>
    </row>
    <row r="13" spans="1:15">
      <c r="A13" s="32" t="s">
        <v>192</v>
      </c>
      <c r="E13" s="57"/>
      <c r="F13" s="57"/>
      <c r="G13" s="57"/>
      <c r="H13" s="57"/>
      <c r="I13" s="57"/>
    </row>
    <row r="14" spans="1:15">
      <c r="A14" s="32" t="s">
        <v>193</v>
      </c>
      <c r="E14" s="57"/>
      <c r="F14" s="57"/>
      <c r="G14" s="57"/>
      <c r="H14" s="57"/>
      <c r="I14" s="57"/>
    </row>
    <row r="15" spans="1:15">
      <c r="A15" s="32" t="s">
        <v>194</v>
      </c>
    </row>
    <row r="17" spans="1:14">
      <c r="A17" s="33" t="s">
        <v>195</v>
      </c>
      <c r="F17" s="49" t="s">
        <v>0</v>
      </c>
      <c r="G17" s="56" t="s">
        <v>214</v>
      </c>
      <c r="H17" s="56"/>
    </row>
    <row r="22" spans="1:14">
      <c r="J22" s="1"/>
      <c r="K22" s="1"/>
      <c r="L22" s="1"/>
    </row>
    <row r="23" spans="1:14">
      <c r="D23" s="52" t="s">
        <v>205</v>
      </c>
      <c r="E23" s="51" t="str">
        <f>IF(G17="","",[1]!EM_S_INFO_NAME(G17))</f>
        <v>贵州茅台</v>
      </c>
      <c r="F23" s="52" t="s">
        <v>206</v>
      </c>
      <c r="G23" s="58" t="str">
        <f>IF(G17="","",[1]!EM_S_IPO_LISTEDDATE(G17))</f>
        <v>2001-08-27</v>
      </c>
      <c r="H23" s="58"/>
      <c r="I23" s="52" t="s">
        <v>207</v>
      </c>
      <c r="J23" s="53">
        <f>IF(G17="","",[1]!EM_REALTIMEQUOT(G17,"Now"))</f>
        <v>1175.8</v>
      </c>
      <c r="K23" s="1"/>
      <c r="L23" s="1"/>
    </row>
    <row r="24" spans="1:14">
      <c r="J24" s="1"/>
      <c r="K24" s="1"/>
      <c r="L24" s="1"/>
    </row>
    <row r="25" spans="1:14">
      <c r="J25" s="2"/>
      <c r="L25" s="3"/>
      <c r="N25" s="3"/>
    </row>
    <row r="26" spans="1:14" ht="13.5" customHeight="1">
      <c r="D26" s="30"/>
      <c r="E26" s="30"/>
      <c r="F26" s="30"/>
      <c r="G26" s="30"/>
      <c r="H26" s="30"/>
      <c r="I26" s="30"/>
      <c r="J26" s="30"/>
      <c r="K26" s="30"/>
      <c r="L26" s="30"/>
    </row>
    <row r="27" spans="1:14" ht="13.5" customHeight="1">
      <c r="C27" s="30"/>
      <c r="D27" s="30"/>
      <c r="E27" s="30"/>
      <c r="F27" s="30"/>
      <c r="G27" s="30"/>
      <c r="H27" s="30"/>
      <c r="I27" s="30"/>
      <c r="J27" s="30"/>
      <c r="K27" s="30"/>
      <c r="L27" s="30"/>
    </row>
  </sheetData>
  <mergeCells count="3">
    <mergeCell ref="G17:H17"/>
    <mergeCell ref="E12:I14"/>
    <mergeCell ref="G23:H23"/>
  </mergeCells>
  <phoneticPr fontId="1" type="noConversion"/>
  <dataValidations count="1">
    <dataValidation type="textLength" operator="equal" allowBlank="1" showInputMessage="1" showErrorMessage="1" errorTitle="输入错误" error="请输入完整代码，包括后缀，例如:300059.SZ" promptTitle="输入提示" prompt="目前只支持沪深股票，银行券商保险暂时不支持。" sqref="G17:H17" xr:uid="{00000000-0002-0000-0000-000000000000}">
      <formula1>9</formula1>
    </dataValidation>
  </dataValidations>
  <hyperlinks>
    <hyperlink ref="A12" location="数据速览!A1" display="数据速览" xr:uid="{00000000-0004-0000-0000-000000000000}"/>
    <hyperlink ref="A13" location="偿债能力!A1" display="偿债能力" xr:uid="{00000000-0004-0000-0000-000001000000}"/>
    <hyperlink ref="A14" location="营运能力!A1" display="营运能力" xr:uid="{00000000-0004-0000-0000-000002000000}"/>
    <hyperlink ref="A15" location="盈利能力!A1" display="盈利能力" xr:uid="{00000000-0004-0000-0000-000003000000}"/>
    <hyperlink ref="A17" location="说明!A1" display="10秒速学"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复制日期">
                <anchor moveWithCells="1" sizeWithCells="1">
                  <from>
                    <xdr:col>10</xdr:col>
                    <xdr:colOff>17335</xdr:colOff>
                    <xdr:row>18</xdr:row>
                    <xdr:rowOff>125676</xdr:rowOff>
                  </from>
                  <to>
                    <xdr:col>12</xdr:col>
                    <xdr:colOff>221016</xdr:colOff>
                    <xdr:row>20</xdr:row>
                    <xdr:rowOff>151678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E169"/>
  <sheetViews>
    <sheetView showGridLines="0" tabSelected="1" zoomScaleNormal="100" workbookViewId="0">
      <pane ySplit="1" topLeftCell="A2" activePane="bottomLeft" state="frozen"/>
      <selection pane="bottomLeft" activeCell="B29" sqref="B29"/>
    </sheetView>
  </sheetViews>
  <sheetFormatPr defaultRowHeight="14.35"/>
  <sheetData>
    <row r="1" spans="1:5" s="38" customFormat="1">
      <c r="A1" s="36" t="s">
        <v>200</v>
      </c>
      <c r="B1" s="37" t="s">
        <v>190</v>
      </c>
      <c r="C1" s="37" t="s">
        <v>192</v>
      </c>
      <c r="D1" s="37" t="s">
        <v>193</v>
      </c>
      <c r="E1" s="37" t="s">
        <v>194</v>
      </c>
    </row>
    <row r="12" spans="1:5">
      <c r="A12" s="59" t="s">
        <v>198</v>
      </c>
      <c r="B12" s="34"/>
    </row>
    <row r="13" spans="1:5">
      <c r="A13" s="59"/>
      <c r="B13" s="34"/>
    </row>
    <row r="14" spans="1:5">
      <c r="A14" s="59"/>
      <c r="B14" s="34"/>
    </row>
    <row r="15" spans="1:5">
      <c r="A15" s="59"/>
      <c r="B15" s="34"/>
    </row>
    <row r="16" spans="1:5">
      <c r="A16" s="59"/>
      <c r="B16" s="34"/>
    </row>
    <row r="17" spans="1:2">
      <c r="A17" s="59"/>
      <c r="B17" s="34"/>
    </row>
    <row r="18" spans="1:2">
      <c r="A18" s="59"/>
      <c r="B18" s="34"/>
    </row>
    <row r="19" spans="1:2">
      <c r="A19" s="59"/>
      <c r="B19" s="34"/>
    </row>
    <row r="20" spans="1:2">
      <c r="A20" s="59"/>
      <c r="B20" s="34"/>
    </row>
    <row r="21" spans="1:2">
      <c r="A21" s="59"/>
      <c r="B21" s="34"/>
    </row>
    <row r="22" spans="1:2">
      <c r="A22" s="59"/>
      <c r="B22" s="34"/>
    </row>
    <row r="23" spans="1:2">
      <c r="A23" s="59"/>
      <c r="B23" s="34"/>
    </row>
    <row r="24" spans="1:2">
      <c r="A24" s="59"/>
      <c r="B24" s="34"/>
    </row>
    <row r="25" spans="1:2">
      <c r="A25" s="59"/>
      <c r="B25" s="34"/>
    </row>
    <row r="26" spans="1:2">
      <c r="A26" s="59"/>
      <c r="B26" s="34"/>
    </row>
    <row r="27" spans="1:2">
      <c r="A27" s="59"/>
      <c r="B27" s="34"/>
    </row>
    <row r="28" spans="1:2">
      <c r="A28" s="59"/>
      <c r="B28" s="34"/>
    </row>
    <row r="29" spans="1:2">
      <c r="A29" s="59"/>
      <c r="B29" s="34"/>
    </row>
    <row r="30" spans="1:2">
      <c r="A30" s="59"/>
      <c r="B30" s="34"/>
    </row>
    <row r="31" spans="1:2">
      <c r="A31" s="59"/>
      <c r="B31" s="34"/>
    </row>
    <row r="32" spans="1:2">
      <c r="A32" s="59"/>
      <c r="B32" s="34"/>
    </row>
    <row r="33" spans="1:2">
      <c r="A33" s="59"/>
      <c r="B33" s="34"/>
    </row>
    <row r="34" spans="1:2">
      <c r="A34" s="59"/>
      <c r="B34" s="34"/>
    </row>
    <row r="35" spans="1:2">
      <c r="A35" s="59"/>
      <c r="B35" s="34"/>
    </row>
    <row r="36" spans="1:2">
      <c r="A36" s="59"/>
      <c r="B36" s="34"/>
    </row>
    <row r="37" spans="1:2">
      <c r="A37" s="59"/>
      <c r="B37" s="34"/>
    </row>
    <row r="38" spans="1:2">
      <c r="A38" s="59"/>
      <c r="B38" s="34"/>
    </row>
    <row r="39" spans="1:2">
      <c r="A39" s="59"/>
      <c r="B39" s="34"/>
    </row>
    <row r="40" spans="1:2">
      <c r="A40" s="59"/>
      <c r="B40" s="34"/>
    </row>
    <row r="41" spans="1:2">
      <c r="A41" s="59"/>
      <c r="B41" s="34"/>
    </row>
    <row r="42" spans="1:2">
      <c r="A42" s="59"/>
      <c r="B42" s="34"/>
    </row>
    <row r="43" spans="1:2">
      <c r="A43" s="59"/>
      <c r="B43" s="34"/>
    </row>
    <row r="44" spans="1:2">
      <c r="A44" s="59"/>
      <c r="B44" s="34"/>
    </row>
    <row r="45" spans="1:2">
      <c r="A45" s="59"/>
      <c r="B45" s="34"/>
    </row>
    <row r="46" spans="1:2">
      <c r="A46" s="59"/>
      <c r="B46" s="34"/>
    </row>
    <row r="47" spans="1:2">
      <c r="A47" s="59"/>
      <c r="B47" s="34"/>
    </row>
    <row r="48" spans="1:2">
      <c r="A48" s="59"/>
      <c r="B48" s="34"/>
    </row>
    <row r="49" spans="1:2">
      <c r="A49" s="59"/>
      <c r="B49" s="34"/>
    </row>
    <row r="50" spans="1:2">
      <c r="A50" s="59"/>
      <c r="B50" s="34"/>
    </row>
    <row r="51" spans="1:2">
      <c r="A51" s="59"/>
      <c r="B51" s="34"/>
    </row>
    <row r="52" spans="1:2">
      <c r="A52" s="59"/>
      <c r="B52" s="34"/>
    </row>
    <row r="53" spans="1:2">
      <c r="A53" s="59"/>
      <c r="B53" s="34"/>
    </row>
    <row r="54" spans="1:2">
      <c r="A54" s="59"/>
      <c r="B54" s="34"/>
    </row>
    <row r="55" spans="1:2" ht="13.5" customHeight="1">
      <c r="A55" s="60" t="s">
        <v>199</v>
      </c>
    </row>
    <row r="56" spans="1:2">
      <c r="A56" s="60"/>
    </row>
    <row r="57" spans="1:2">
      <c r="A57" s="60"/>
    </row>
    <row r="58" spans="1:2">
      <c r="A58" s="60"/>
    </row>
    <row r="59" spans="1:2">
      <c r="A59" s="60"/>
    </row>
    <row r="60" spans="1:2">
      <c r="A60" s="60"/>
    </row>
    <row r="61" spans="1:2">
      <c r="A61" s="60"/>
    </row>
    <row r="62" spans="1:2">
      <c r="A62" s="60"/>
    </row>
    <row r="63" spans="1:2">
      <c r="A63" s="60"/>
    </row>
    <row r="64" spans="1:2">
      <c r="A64" s="60"/>
    </row>
    <row r="65" spans="1:1">
      <c r="A65" s="60"/>
    </row>
    <row r="66" spans="1:1">
      <c r="A66" s="60"/>
    </row>
    <row r="67" spans="1:1">
      <c r="A67" s="60"/>
    </row>
    <row r="68" spans="1:1">
      <c r="A68" s="60"/>
    </row>
    <row r="69" spans="1:1">
      <c r="A69" s="60"/>
    </row>
    <row r="70" spans="1:1">
      <c r="A70" s="60"/>
    </row>
    <row r="71" spans="1:1">
      <c r="A71" s="60"/>
    </row>
    <row r="72" spans="1:1">
      <c r="A72" s="60"/>
    </row>
    <row r="73" spans="1:1">
      <c r="A73" s="60"/>
    </row>
    <row r="74" spans="1:1">
      <c r="A74" s="60"/>
    </row>
    <row r="75" spans="1:1">
      <c r="A75" s="60"/>
    </row>
    <row r="76" spans="1:1">
      <c r="A76" s="60"/>
    </row>
    <row r="77" spans="1:1">
      <c r="A77" s="60"/>
    </row>
    <row r="78" spans="1:1">
      <c r="A78" s="60"/>
    </row>
    <row r="79" spans="1:1">
      <c r="A79" s="60"/>
    </row>
    <row r="80" spans="1:1">
      <c r="A80" s="60"/>
    </row>
    <row r="81" spans="1:1">
      <c r="A81" s="60"/>
    </row>
    <row r="82" spans="1:1">
      <c r="A82" s="60"/>
    </row>
    <row r="83" spans="1:1">
      <c r="A83" s="60"/>
    </row>
    <row r="84" spans="1:1">
      <c r="A84" s="60"/>
    </row>
    <row r="85" spans="1:1">
      <c r="A85" s="60"/>
    </row>
    <row r="86" spans="1:1">
      <c r="A86" s="60"/>
    </row>
    <row r="87" spans="1:1">
      <c r="A87" s="60"/>
    </row>
    <row r="88" spans="1:1">
      <c r="A88" s="60"/>
    </row>
    <row r="89" spans="1:1">
      <c r="A89" s="60"/>
    </row>
    <row r="90" spans="1:1">
      <c r="A90" s="60"/>
    </row>
    <row r="91" spans="1:1">
      <c r="A91" s="60"/>
    </row>
    <row r="92" spans="1:1">
      <c r="A92" s="60"/>
    </row>
    <row r="93" spans="1:1">
      <c r="A93" s="60"/>
    </row>
    <row r="94" spans="1:1">
      <c r="A94" s="60"/>
    </row>
    <row r="95" spans="1:1">
      <c r="A95" s="60"/>
    </row>
    <row r="96" spans="1:1">
      <c r="A96" s="60"/>
    </row>
    <row r="97" spans="1:1">
      <c r="A97" s="60"/>
    </row>
    <row r="98" spans="1:1">
      <c r="A98" s="60"/>
    </row>
    <row r="99" spans="1:1">
      <c r="A99" s="60"/>
    </row>
    <row r="100" spans="1:1">
      <c r="A100" s="60"/>
    </row>
    <row r="101" spans="1:1">
      <c r="A101" s="60"/>
    </row>
    <row r="102" spans="1:1">
      <c r="A102" s="60"/>
    </row>
    <row r="103" spans="1:1">
      <c r="A103" s="60"/>
    </row>
    <row r="104" spans="1:1">
      <c r="A104" s="60"/>
    </row>
    <row r="105" spans="1:1">
      <c r="A105" s="60"/>
    </row>
    <row r="106" spans="1:1">
      <c r="A106" s="60"/>
    </row>
    <row r="107" spans="1:1">
      <c r="A107" s="60"/>
    </row>
    <row r="108" spans="1:1">
      <c r="A108" s="60"/>
    </row>
    <row r="109" spans="1:1">
      <c r="A109" s="60"/>
    </row>
    <row r="110" spans="1:1">
      <c r="A110" s="60"/>
    </row>
    <row r="111" spans="1:1">
      <c r="A111" s="60"/>
    </row>
    <row r="112" spans="1:1">
      <c r="A112" s="60"/>
    </row>
    <row r="113" spans="1:1">
      <c r="A113" s="61" t="s">
        <v>194</v>
      </c>
    </row>
    <row r="114" spans="1:1">
      <c r="A114" s="61"/>
    </row>
    <row r="115" spans="1:1">
      <c r="A115" s="61"/>
    </row>
    <row r="116" spans="1:1">
      <c r="A116" s="61"/>
    </row>
    <row r="117" spans="1:1">
      <c r="A117" s="61"/>
    </row>
    <row r="118" spans="1:1">
      <c r="A118" s="61"/>
    </row>
    <row r="119" spans="1:1">
      <c r="A119" s="61"/>
    </row>
    <row r="120" spans="1:1">
      <c r="A120" s="61"/>
    </row>
    <row r="121" spans="1:1">
      <c r="A121" s="61"/>
    </row>
    <row r="122" spans="1:1">
      <c r="A122" s="61"/>
    </row>
    <row r="123" spans="1:1">
      <c r="A123" s="61"/>
    </row>
    <row r="124" spans="1:1">
      <c r="A124" s="61"/>
    </row>
    <row r="125" spans="1:1">
      <c r="A125" s="61"/>
    </row>
    <row r="126" spans="1:1">
      <c r="A126" s="61"/>
    </row>
    <row r="127" spans="1:1">
      <c r="A127" s="61"/>
    </row>
    <row r="128" spans="1:1">
      <c r="A128" s="61"/>
    </row>
    <row r="129" spans="1:1">
      <c r="A129" s="61"/>
    </row>
    <row r="130" spans="1:1">
      <c r="A130" s="61"/>
    </row>
    <row r="131" spans="1:1">
      <c r="A131" s="61"/>
    </row>
    <row r="132" spans="1:1">
      <c r="A132" s="61"/>
    </row>
    <row r="133" spans="1:1">
      <c r="A133" s="61"/>
    </row>
    <row r="134" spans="1:1">
      <c r="A134" s="61"/>
    </row>
    <row r="135" spans="1:1">
      <c r="A135" s="61"/>
    </row>
    <row r="136" spans="1:1">
      <c r="A136" s="61"/>
    </row>
    <row r="137" spans="1:1">
      <c r="A137" s="61"/>
    </row>
    <row r="138" spans="1:1">
      <c r="A138" s="61"/>
    </row>
    <row r="139" spans="1:1">
      <c r="A139" s="61"/>
    </row>
    <row r="140" spans="1:1">
      <c r="A140" s="61"/>
    </row>
    <row r="141" spans="1:1">
      <c r="A141" s="61"/>
    </row>
    <row r="142" spans="1:1">
      <c r="A142" s="61"/>
    </row>
    <row r="143" spans="1:1">
      <c r="A143" s="61"/>
    </row>
    <row r="144" spans="1:1">
      <c r="A144" s="61"/>
    </row>
    <row r="145" spans="1:1">
      <c r="A145" s="61"/>
    </row>
    <row r="146" spans="1:1">
      <c r="A146" s="61"/>
    </row>
    <row r="147" spans="1:1">
      <c r="A147" s="61"/>
    </row>
    <row r="148" spans="1:1">
      <c r="A148" s="61"/>
    </row>
    <row r="149" spans="1:1">
      <c r="A149" s="61"/>
    </row>
    <row r="150" spans="1:1">
      <c r="A150" s="61"/>
    </row>
    <row r="151" spans="1:1">
      <c r="A151" s="61"/>
    </row>
    <row r="152" spans="1:1">
      <c r="A152" s="61"/>
    </row>
    <row r="153" spans="1:1">
      <c r="A153" s="61"/>
    </row>
    <row r="154" spans="1:1">
      <c r="A154" s="61"/>
    </row>
    <row r="155" spans="1:1">
      <c r="A155" s="61"/>
    </row>
    <row r="156" spans="1:1">
      <c r="A156" s="61"/>
    </row>
    <row r="157" spans="1:1">
      <c r="A157" s="61"/>
    </row>
    <row r="158" spans="1:1">
      <c r="A158" s="61"/>
    </row>
    <row r="159" spans="1:1">
      <c r="A159" s="61"/>
    </row>
    <row r="160" spans="1:1">
      <c r="A160" s="61"/>
    </row>
    <row r="161" spans="1:1">
      <c r="A161" s="61"/>
    </row>
    <row r="162" spans="1:1">
      <c r="A162" s="61"/>
    </row>
    <row r="163" spans="1:1">
      <c r="A163" s="61"/>
    </row>
    <row r="164" spans="1:1">
      <c r="A164" s="61"/>
    </row>
    <row r="165" spans="1:1">
      <c r="A165" s="61"/>
    </row>
    <row r="166" spans="1:1">
      <c r="A166" s="61"/>
    </row>
    <row r="167" spans="1:1">
      <c r="A167" s="61"/>
    </row>
    <row r="168" spans="1:1">
      <c r="A168" s="61"/>
    </row>
    <row r="169" spans="1:1">
      <c r="A169" s="61"/>
    </row>
  </sheetData>
  <mergeCells count="3">
    <mergeCell ref="A12:A54"/>
    <mergeCell ref="A55:A112"/>
    <mergeCell ref="A113:A169"/>
  </mergeCells>
  <phoneticPr fontId="1" type="noConversion"/>
  <hyperlinks>
    <hyperlink ref="B1" location="数据速览!A2" display="数据速览" xr:uid="{00000000-0004-0000-0100-000000000000}"/>
    <hyperlink ref="C1" location="偿债能力!A2" display="偿债能力" xr:uid="{00000000-0004-0000-0100-000001000000}"/>
    <hyperlink ref="D1" location="营运能力!A2" display="营运能力" xr:uid="{00000000-0004-0000-0100-000002000000}"/>
    <hyperlink ref="E1" location="盈利能力!A2" display="盈利能力" xr:uid="{00000000-0004-0000-0100-000003000000}"/>
    <hyperlink ref="A1" location="首页!A2" display="首页" xr:uid="{00000000-0004-0000-0100-000004000000}"/>
  </hyperlink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F0"/>
  </sheetPr>
  <dimension ref="A1:Y267"/>
  <sheetViews>
    <sheetView showGridLines="0" zoomScaleNormal="100" workbookViewId="0">
      <pane ySplit="1" topLeftCell="A11" activePane="bottomLeft" state="frozen"/>
      <selection pane="bottomLeft" activeCell="D15" sqref="D15:M15"/>
    </sheetView>
  </sheetViews>
  <sheetFormatPr defaultColWidth="11.625" defaultRowHeight="14.35"/>
  <cols>
    <col min="1" max="2" width="9" customWidth="1"/>
    <col min="3" max="14" width="11.625" bestFit="1" customWidth="1"/>
    <col min="15" max="15" width="11.625" style="39" bestFit="1" customWidth="1"/>
  </cols>
  <sheetData>
    <row r="1" spans="1:25" s="38" customFormat="1">
      <c r="A1" s="36" t="s">
        <v>200</v>
      </c>
      <c r="B1" s="37" t="s">
        <v>190</v>
      </c>
      <c r="C1" s="37" t="s">
        <v>192</v>
      </c>
      <c r="D1" s="37" t="s">
        <v>193</v>
      </c>
      <c r="E1" s="37" t="s">
        <v>194</v>
      </c>
      <c r="O1" s="44"/>
    </row>
    <row r="2" spans="1:25" ht="13.5" customHeight="1">
      <c r="E2" s="4"/>
      <c r="F2" s="4"/>
      <c r="G2" s="4"/>
      <c r="H2" s="4"/>
      <c r="I2" s="4"/>
      <c r="J2" s="4"/>
      <c r="K2" s="4"/>
      <c r="L2" s="4"/>
    </row>
    <row r="3" spans="1:25" ht="13.5" customHeight="1">
      <c r="E3" s="4"/>
      <c r="F3" s="4"/>
      <c r="G3" s="4"/>
      <c r="H3" s="4"/>
      <c r="I3" s="4"/>
      <c r="J3" s="4"/>
      <c r="K3" s="4"/>
      <c r="L3" s="4"/>
    </row>
    <row r="4" spans="1:25" ht="13.5" customHeight="1">
      <c r="E4" s="4"/>
      <c r="F4" s="4"/>
      <c r="G4" s="4"/>
      <c r="H4" s="4"/>
      <c r="I4" s="4"/>
      <c r="K4" s="4"/>
      <c r="L4" s="4"/>
    </row>
    <row r="5" spans="1:25" ht="13.5" customHeight="1">
      <c r="E5" s="4"/>
      <c r="F5" s="4"/>
      <c r="G5" s="4"/>
      <c r="H5" s="4"/>
      <c r="I5" s="4"/>
      <c r="J5" s="4"/>
      <c r="K5" s="4"/>
      <c r="L5" s="4"/>
    </row>
    <row r="6" spans="1:25" s="39" customFormat="1"/>
    <row r="7" spans="1:25" s="39" customFormat="1"/>
    <row r="8" spans="1:25" s="39" customFormat="1">
      <c r="C8" s="39" t="s">
        <v>1</v>
      </c>
      <c r="D8" s="40" t="s">
        <v>8</v>
      </c>
      <c r="E8" s="39" t="s">
        <v>2</v>
      </c>
      <c r="F8" s="40" t="s">
        <v>14</v>
      </c>
      <c r="G8" s="40" t="s">
        <v>15</v>
      </c>
      <c r="H8" s="41" t="s">
        <v>130</v>
      </c>
    </row>
    <row r="9" spans="1:25" s="39" customFormat="1">
      <c r="C9" s="39" t="str">
        <f>首页!G17</f>
        <v>600519.sh</v>
      </c>
      <c r="D9" s="40" t="str">
        <f>[1]!EM_S_INFO_NAME(C9)</f>
        <v>贵州茅台</v>
      </c>
      <c r="E9" s="39" t="str">
        <f>[1]!EM_S_IPO_LISTEDDATE(C9)</f>
        <v>2001-08-27</v>
      </c>
      <c r="F9" s="40" t="str">
        <f>[1]!EM_S_INFO_INDUSTRY_EM2016(C9,"2")</f>
        <v>饮料</v>
      </c>
      <c r="G9" s="40" t="str">
        <f>VLOOKUP(F9,其他!A:B,2,FALSE)</f>
        <v>004002002</v>
      </c>
      <c r="H9" s="41">
        <f>[1]!EM_BK_SCOUNT(G9,"N","0")</f>
        <v>45</v>
      </c>
    </row>
    <row r="10" spans="1:25" s="39" customFormat="1"/>
    <row r="11" spans="1:25" s="39" customFormat="1"/>
    <row r="12" spans="1:25" s="39" customFormat="1">
      <c r="C12" s="39" t="s">
        <v>158</v>
      </c>
      <c r="D12" s="42">
        <f ca="1">TODAY()</f>
        <v>43797</v>
      </c>
      <c r="E12" s="39">
        <f ca="1">YEAR(D12)</f>
        <v>2019</v>
      </c>
      <c r="F12" s="39">
        <f ca="1">E12-1</f>
        <v>2018</v>
      </c>
      <c r="G12" s="39">
        <f t="shared" ref="G12:O12" ca="1" si="0">F12-1</f>
        <v>2017</v>
      </c>
      <c r="H12" s="39">
        <f t="shared" ca="1" si="0"/>
        <v>2016</v>
      </c>
      <c r="I12" s="39">
        <f t="shared" ca="1" si="0"/>
        <v>2015</v>
      </c>
      <c r="J12" s="39">
        <f t="shared" ca="1" si="0"/>
        <v>2014</v>
      </c>
      <c r="K12" s="39">
        <f t="shared" ca="1" si="0"/>
        <v>2013</v>
      </c>
      <c r="L12" s="39">
        <f t="shared" ca="1" si="0"/>
        <v>2012</v>
      </c>
      <c r="M12" s="39">
        <f t="shared" ca="1" si="0"/>
        <v>2011</v>
      </c>
      <c r="N12" s="39">
        <f t="shared" ca="1" si="0"/>
        <v>2010</v>
      </c>
      <c r="O12" s="39">
        <f t="shared" ca="1" si="0"/>
        <v>2009</v>
      </c>
    </row>
    <row r="13" spans="1:25" s="39" customFormat="1">
      <c r="D13" s="42"/>
      <c r="E13" s="39" t="str">
        <f ca="1">E12&amp;"-12-31"</f>
        <v>2019-12-31</v>
      </c>
      <c r="F13" s="39" t="str">
        <f t="shared" ref="F13:O13" ca="1" si="1">F12&amp;"-12-31"</f>
        <v>2018-12-31</v>
      </c>
      <c r="G13" s="39" t="str">
        <f t="shared" ca="1" si="1"/>
        <v>2017-12-31</v>
      </c>
      <c r="H13" s="39" t="str">
        <f t="shared" ca="1" si="1"/>
        <v>2016-12-31</v>
      </c>
      <c r="I13" s="39" t="str">
        <f t="shared" ca="1" si="1"/>
        <v>2015-12-31</v>
      </c>
      <c r="J13" s="39" t="str">
        <f t="shared" ca="1" si="1"/>
        <v>2014-12-31</v>
      </c>
      <c r="K13" s="39" t="str">
        <f t="shared" ca="1" si="1"/>
        <v>2013-12-31</v>
      </c>
      <c r="L13" s="39" t="str">
        <f t="shared" ca="1" si="1"/>
        <v>2012-12-31</v>
      </c>
      <c r="M13" s="39" t="str">
        <f t="shared" ca="1" si="1"/>
        <v>2011-12-31</v>
      </c>
      <c r="N13" s="39" t="str">
        <f t="shared" ca="1" si="1"/>
        <v>2010-12-31</v>
      </c>
      <c r="O13" s="39" t="str">
        <f t="shared" ca="1" si="1"/>
        <v>2009-12-31</v>
      </c>
    </row>
    <row r="14" spans="1:25" s="39" customFormat="1">
      <c r="D14" s="42" t="str">
        <f ca="1">O13</f>
        <v>2009-12-31</v>
      </c>
      <c r="E14" s="39" t="str">
        <f ca="1">N13</f>
        <v>2010-12-31</v>
      </c>
      <c r="F14" s="39" t="str">
        <f ca="1">M13</f>
        <v>2011-12-31</v>
      </c>
      <c r="G14" s="39" t="str">
        <f ca="1">L13</f>
        <v>2012-12-31</v>
      </c>
      <c r="H14" s="39" t="str">
        <f ca="1">K13</f>
        <v>2013-12-31</v>
      </c>
      <c r="I14" s="39" t="str">
        <f ca="1">J13</f>
        <v>2014-12-31</v>
      </c>
      <c r="J14" s="39" t="str">
        <f ca="1">I13</f>
        <v>2015-12-31</v>
      </c>
      <c r="K14" s="39" t="str">
        <f ca="1">H13</f>
        <v>2016-12-31</v>
      </c>
      <c r="L14" s="39" t="str">
        <f ca="1">G13</f>
        <v>2017-12-31</v>
      </c>
      <c r="M14" s="39" t="str">
        <f ca="1">F13</f>
        <v>2018-12-31</v>
      </c>
    </row>
    <row r="15" spans="1:25" s="40" customFormat="1">
      <c r="C15" s="40" t="s">
        <v>3</v>
      </c>
      <c r="D15" s="42" t="s">
        <v>159</v>
      </c>
      <c r="E15" s="42" t="s">
        <v>160</v>
      </c>
      <c r="F15" s="42" t="s">
        <v>161</v>
      </c>
      <c r="G15" s="42" t="s">
        <v>162</v>
      </c>
      <c r="H15" s="42" t="s">
        <v>163</v>
      </c>
      <c r="I15" s="42" t="s">
        <v>164</v>
      </c>
      <c r="J15" s="42" t="s">
        <v>165</v>
      </c>
      <c r="K15" s="42" t="s">
        <v>166</v>
      </c>
      <c r="L15" s="42" t="s">
        <v>167</v>
      </c>
      <c r="M15" s="42" t="s">
        <v>212</v>
      </c>
      <c r="N15" s="43"/>
      <c r="O15" s="45"/>
      <c r="P15" s="43"/>
      <c r="Q15" s="43"/>
      <c r="R15" s="43"/>
      <c r="S15" s="43"/>
      <c r="T15" s="43"/>
      <c r="U15" s="43"/>
      <c r="V15" s="43"/>
      <c r="W15" s="43"/>
      <c r="X15" s="43"/>
      <c r="Y15" s="43"/>
    </row>
    <row r="16" spans="1:25" s="39" customFormat="1"/>
    <row r="17" spans="1:15" ht="25.55" customHeight="1">
      <c r="A17" s="76" t="s">
        <v>10</v>
      </c>
      <c r="B17" s="75" t="s">
        <v>9</v>
      </c>
      <c r="C17" s="75"/>
    </row>
    <row r="18" spans="1:15" ht="13.5" customHeight="1">
      <c r="A18" s="76"/>
      <c r="B18" s="75"/>
      <c r="C18" s="75"/>
    </row>
    <row r="19" spans="1:15" ht="13.5" customHeight="1">
      <c r="A19" s="76"/>
      <c r="B19" s="75"/>
      <c r="C19" s="75"/>
      <c r="D19" s="47" t="str">
        <f>IF(D21=0,"0%","0.5%")</f>
        <v>0.5%</v>
      </c>
      <c r="E19" s="47" t="str">
        <f>IF(E21=0,"0%","0.5%")</f>
        <v>0.5%</v>
      </c>
      <c r="F19" s="47" t="str">
        <f>IF(F21=0,"0%","0.5%")</f>
        <v>0.5%</v>
      </c>
      <c r="G19" s="47" t="str">
        <f>IF(G21=0,"0%","0.5%")</f>
        <v>0.5%</v>
      </c>
      <c r="H19" s="47" t="str">
        <f>IF(H21=0,"0%","0.5%")</f>
        <v>0.5%</v>
      </c>
      <c r="I19" s="47" t="str">
        <f>IF(I21=0,"0%","1%")</f>
        <v>1%</v>
      </c>
      <c r="J19" s="47" t="str">
        <f>IF(J21=0,"0%","5%")</f>
        <v>5%</v>
      </c>
      <c r="K19" s="47" t="str">
        <f>IF(K21=0,"0%","20%")</f>
        <v>20%</v>
      </c>
      <c r="L19" s="47" t="str">
        <f>IF(L21=0,"0%","30%")</f>
        <v>30%</v>
      </c>
      <c r="M19" s="47" t="str">
        <f>IF(M21=0,"0%","40%")</f>
        <v>40%</v>
      </c>
    </row>
    <row r="20" spans="1:15" ht="13.5" customHeight="1">
      <c r="D20" s="11" t="str">
        <f>D15</f>
        <v>2009-12-31</v>
      </c>
      <c r="E20" s="11" t="str">
        <f t="shared" ref="E20:M20" si="2">IFERROR(E15,"个股未上市")</f>
        <v>2010-12-31</v>
      </c>
      <c r="F20" s="11" t="str">
        <f t="shared" si="2"/>
        <v>2011-12-31</v>
      </c>
      <c r="G20" s="11" t="str">
        <f t="shared" si="2"/>
        <v>2012-12-31</v>
      </c>
      <c r="H20" s="11" t="str">
        <f t="shared" si="2"/>
        <v>2013-12-31</v>
      </c>
      <c r="I20" s="11" t="str">
        <f t="shared" si="2"/>
        <v>2014-12-31</v>
      </c>
      <c r="J20" s="11" t="str">
        <f t="shared" si="2"/>
        <v>2015-12-31</v>
      </c>
      <c r="K20" s="11" t="str">
        <f t="shared" si="2"/>
        <v>2016-12-31</v>
      </c>
      <c r="L20" s="11" t="str">
        <f t="shared" si="2"/>
        <v>2017-12-31</v>
      </c>
      <c r="M20" s="11" t="str">
        <f t="shared" si="2"/>
        <v>2018-12-31</v>
      </c>
      <c r="N20" s="13" t="s">
        <v>119</v>
      </c>
    </row>
    <row r="21" spans="1:15" ht="13.5" customHeight="1">
      <c r="C21" s="12" t="str">
        <f>D9</f>
        <v>贵州茅台</v>
      </c>
      <c r="D21" s="10">
        <f>[1]!EM_S_FA_CURRENT($C$9,D20)</f>
        <v>3.064880257595</v>
      </c>
      <c r="E21" s="10">
        <f>[1]!EM_S_FA_CURRENT($C$9,E20)</f>
        <v>2.8884085543450002</v>
      </c>
      <c r="F21" s="10">
        <f>[1]!EM_S_FA_CURRENT($C$9,F20)</f>
        <v>2.9353924646010001</v>
      </c>
      <c r="G21" s="10">
        <f>[1]!EM_S_FA_CURRENT($C$9,G20)</f>
        <v>3.8025977172530001</v>
      </c>
      <c r="H21" s="10">
        <f>[1]!EM_S_FA_CURRENT($C$9,H20)</f>
        <v>3.7083677303370002</v>
      </c>
      <c r="I21" s="10">
        <f>[1]!EM_S_FA_CURRENT($C$9,I20)</f>
        <v>4.5117252630089997</v>
      </c>
      <c r="J21" s="10">
        <f>[1]!EM_S_FA_CURRENT($C$9,J20)</f>
        <v>3.2418418117379999</v>
      </c>
      <c r="K21" s="10">
        <f>[1]!EM_S_FA_CURRENT($C$9,K20)</f>
        <v>2.435967382022</v>
      </c>
      <c r="L21" s="10">
        <f>[1]!EM_S_FA_CURRENT($C$9,L20)</f>
        <v>2.9099007258479999</v>
      </c>
      <c r="M21" s="10">
        <f>[1]!EM_S_FA_CURRENT($C$9,M20)</f>
        <v>3.248532646163</v>
      </c>
      <c r="N21" s="73" t="str">
        <f>IFERROR(IF(O21&gt;O22,"优","差"),"")</f>
        <v>优</v>
      </c>
      <c r="O21" s="46">
        <f>(M21*M19)+(L21*L19)+(K21*K19)+(J21*J19)+(I21*I19)+(H21*H19)+(G21*G19)+(F21*F19)+(E21*E19)+(D21*D19)</f>
        <v>2.9487843294616449</v>
      </c>
    </row>
    <row r="22" spans="1:15" ht="13.5" customHeight="1">
      <c r="C22" s="12" t="str">
        <f>F9</f>
        <v>饮料</v>
      </c>
      <c r="D22" s="10">
        <f>[1]!EM_BK_FA_ALL_CURRENT($G$9,D20,"0")</f>
        <v>1.7540540299823981</v>
      </c>
      <c r="E22" s="10">
        <f>[1]!EM_BK_FA_ALL_CURRENT($G$9,E20,"0")</f>
        <v>1.7532295516628034</v>
      </c>
      <c r="F22" s="10">
        <f>[1]!EM_BK_FA_ALL_CURRENT($G$9,F20,"0")</f>
        <v>1.7379576986706464</v>
      </c>
      <c r="G22" s="10">
        <f>[1]!EM_BK_FA_ALL_CURRENT($G$9,G20,"0")</f>
        <v>1.9269570854451479</v>
      </c>
      <c r="H22" s="10">
        <f>[1]!EM_BK_FA_ALL_CURRENT($G$9,H20,"0")</f>
        <v>2.071460195004879</v>
      </c>
      <c r="I22" s="10">
        <f>[1]!EM_BK_FA_ALL_CURRENT($G$9,I20,"0")</f>
        <v>2.3669946808869788</v>
      </c>
      <c r="J22" s="10">
        <f>[1]!EM_BK_FA_ALL_CURRENT($G$9,J20,"0")</f>
        <v>2.4038009074342965</v>
      </c>
      <c r="K22" s="10">
        <f>[1]!EM_BK_FA_ALL_CURRENT($G$9,K20,"0")</f>
        <v>2.2595001114518851</v>
      </c>
      <c r="L22" s="10">
        <f>[1]!EM_BK_FA_ALL_CURRENT($G$9,L20,"0")</f>
        <v>2.4581766311477247</v>
      </c>
      <c r="M22" s="10">
        <f>[1]!EM_BK_FA_ALL_CURRENT($G$9,M20,"0")</f>
        <v>2.5733775799874148</v>
      </c>
      <c r="N22" s="73"/>
      <c r="O22" s="46">
        <f>(M22*M19)+(L22*L19)+(K22*K19)+(J22*J19)+(I22*I19)+(H22*H19)+(G22*G19)+(F22*F19)+(E22*E19)+(D22*D19)</f>
        <v>2.4087823286140746</v>
      </c>
    </row>
    <row r="23" spans="1:15">
      <c r="C23" s="12" t="s">
        <v>138</v>
      </c>
      <c r="D23" s="10">
        <f>[1]!EM_BK_FA_ALL_CURRENT("001004",D20,"0")</f>
        <v>1.0903861683245142</v>
      </c>
      <c r="E23" s="10">
        <f>[1]!EM_BK_FA_ALL_CURRENT("001004",E20,"0")</f>
        <v>1.1525767998466498</v>
      </c>
      <c r="F23" s="10">
        <f>[1]!EM_BK_FA_ALL_CURRENT("001004",F20,"0")</f>
        <v>1.1564114689555436</v>
      </c>
      <c r="G23" s="10">
        <f>[1]!EM_BK_FA_ALL_CURRENT("001004",G20,"0")</f>
        <v>1.1356173592867798</v>
      </c>
      <c r="H23" s="10">
        <f>[1]!EM_BK_FA_ALL_CURRENT("001004",H20,"0")</f>
        <v>1.1261050704290849</v>
      </c>
      <c r="I23" s="10">
        <f>[1]!EM_BK_FA_ALL_CURRENT("001004",I20,"0")</f>
        <v>1.1399745004333639</v>
      </c>
      <c r="J23" s="10">
        <f>[1]!EM_BK_FA_ALL_CURRENT("001004",J20,"0")</f>
        <v>1.1874512581552015</v>
      </c>
      <c r="K23" s="10">
        <f>[1]!EM_BK_FA_ALL_CURRENT("001004",K20,"0")</f>
        <v>1.2205359592788343</v>
      </c>
      <c r="L23" s="10">
        <f>[1]!EM_BK_FA_ALL_CURRENT("001004",L20,"0")</f>
        <v>1.2254385913383223</v>
      </c>
      <c r="M23" s="10">
        <f>[1]!EM_BK_FA_ALL_CURRENT("001004",M20,"0")</f>
        <v>1.2089875370701675</v>
      </c>
      <c r="N23" s="73"/>
    </row>
    <row r="45" spans="2:15" ht="13.5" customHeight="1" thickBot="1">
      <c r="C45" s="62"/>
      <c r="D45" s="63"/>
      <c r="E45" s="63"/>
      <c r="F45" s="63"/>
      <c r="G45" s="63"/>
      <c r="H45" s="63"/>
      <c r="I45" s="63"/>
      <c r="J45" s="63"/>
      <c r="K45" s="63"/>
      <c r="L45" s="63"/>
      <c r="M45" s="63"/>
      <c r="N45" s="63"/>
    </row>
    <row r="46" spans="2:15">
      <c r="C46" s="64" t="s">
        <v>13</v>
      </c>
      <c r="D46" s="65"/>
      <c r="E46" s="65"/>
      <c r="F46" s="65"/>
      <c r="G46" s="65"/>
      <c r="H46" s="65"/>
      <c r="I46" s="65"/>
      <c r="J46" s="65"/>
      <c r="K46" s="65"/>
      <c r="L46" s="65"/>
      <c r="M46" s="65"/>
      <c r="N46" s="66"/>
      <c r="O46" s="55"/>
    </row>
    <row r="47" spans="2:15" ht="14.7" thickBot="1">
      <c r="B47" s="54"/>
      <c r="C47" s="70"/>
      <c r="D47" s="71"/>
      <c r="E47" s="71"/>
      <c r="F47" s="71"/>
      <c r="G47" s="71"/>
      <c r="H47" s="71"/>
      <c r="I47" s="71"/>
      <c r="J47" s="71"/>
      <c r="K47" s="71"/>
      <c r="L47" s="71"/>
      <c r="M47" s="71"/>
      <c r="N47" s="72"/>
      <c r="O47" s="55"/>
    </row>
    <row r="48" spans="2:15">
      <c r="C48" s="77"/>
      <c r="D48" s="78"/>
      <c r="E48" s="78"/>
      <c r="F48" s="78"/>
      <c r="G48" s="78"/>
      <c r="H48" s="78"/>
      <c r="I48" s="78"/>
      <c r="J48" s="78"/>
      <c r="K48" s="78"/>
      <c r="L48" s="78"/>
      <c r="M48" s="78"/>
      <c r="N48" s="78"/>
    </row>
    <row r="55" spans="1:15">
      <c r="A55" s="74" t="s">
        <v>11</v>
      </c>
      <c r="B55" s="75" t="s">
        <v>12</v>
      </c>
      <c r="C55" s="75"/>
    </row>
    <row r="56" spans="1:15">
      <c r="A56" s="74"/>
      <c r="B56" s="75"/>
      <c r="C56" s="75"/>
    </row>
    <row r="57" spans="1:15">
      <c r="A57" s="74"/>
      <c r="B57" s="75"/>
      <c r="C57" s="75"/>
      <c r="D57" s="48" t="str">
        <f>D$19</f>
        <v>0.5%</v>
      </c>
      <c r="E57" s="48" t="str">
        <f t="shared" ref="E57:M57" si="3">E$19</f>
        <v>0.5%</v>
      </c>
      <c r="F57" s="48" t="str">
        <f t="shared" si="3"/>
        <v>0.5%</v>
      </c>
      <c r="G57" s="48" t="str">
        <f t="shared" si="3"/>
        <v>0.5%</v>
      </c>
      <c r="H57" s="48" t="str">
        <f t="shared" si="3"/>
        <v>0.5%</v>
      </c>
      <c r="I57" s="48" t="str">
        <f t="shared" si="3"/>
        <v>1%</v>
      </c>
      <c r="J57" s="48" t="str">
        <f t="shared" si="3"/>
        <v>5%</v>
      </c>
      <c r="K57" s="48" t="str">
        <f t="shared" si="3"/>
        <v>20%</v>
      </c>
      <c r="L57" s="48" t="str">
        <f t="shared" si="3"/>
        <v>30%</v>
      </c>
      <c r="M57" s="48" t="str">
        <f t="shared" si="3"/>
        <v>40%</v>
      </c>
    </row>
    <row r="58" spans="1:15" ht="13.5" customHeight="1">
      <c r="D58" s="11" t="str">
        <f>D$20</f>
        <v>2009-12-31</v>
      </c>
      <c r="E58" s="11" t="str">
        <f t="shared" ref="E58:M58" si="4">E$20</f>
        <v>2010-12-31</v>
      </c>
      <c r="F58" s="11" t="str">
        <f t="shared" si="4"/>
        <v>2011-12-31</v>
      </c>
      <c r="G58" s="11" t="str">
        <f t="shared" si="4"/>
        <v>2012-12-31</v>
      </c>
      <c r="H58" s="11" t="str">
        <f t="shared" si="4"/>
        <v>2013-12-31</v>
      </c>
      <c r="I58" s="11" t="str">
        <f t="shared" si="4"/>
        <v>2014-12-31</v>
      </c>
      <c r="J58" s="11" t="str">
        <f t="shared" si="4"/>
        <v>2015-12-31</v>
      </c>
      <c r="K58" s="11" t="str">
        <f t="shared" si="4"/>
        <v>2016-12-31</v>
      </c>
      <c r="L58" s="11" t="str">
        <f t="shared" si="4"/>
        <v>2017-12-31</v>
      </c>
      <c r="M58" s="11" t="str">
        <f t="shared" si="4"/>
        <v>2018-12-31</v>
      </c>
      <c r="N58" s="14" t="s">
        <v>119</v>
      </c>
    </row>
    <row r="59" spans="1:15" ht="13.5" customHeight="1">
      <c r="C59" s="12" t="str">
        <f>C21</f>
        <v>贵州茅台</v>
      </c>
      <c r="D59" s="10">
        <f>[1]!EM_S_FA_QUICK($C$9,D58)</f>
        <v>2.2441678376</v>
      </c>
      <c r="E59" s="10">
        <f>[1]!EM_S_FA_QUICK($C$9,E58)</f>
        <v>2.0952988222150002</v>
      </c>
      <c r="F59" s="10">
        <f>[1]!EM_S_FA_QUICK($C$9,F58)</f>
        <v>2.177315226278</v>
      </c>
      <c r="G59" s="10">
        <f>[1]!EM_S_FA_QUICK($C$9,G58)</f>
        <v>2.7879725703120002</v>
      </c>
      <c r="H59" s="10">
        <f>[1]!EM_S_FA_QUICK($C$9,H58)</f>
        <v>2.6615375959729999</v>
      </c>
      <c r="I59" s="10">
        <f>[1]!EM_S_FA_QUICK($C$9,I58)</f>
        <v>3.0907668513619999</v>
      </c>
      <c r="J59" s="10">
        <f>[1]!EM_S_FA_QUICK($C$9,J58)</f>
        <v>2.343500206811</v>
      </c>
      <c r="K59" s="10">
        <f>[1]!EM_S_FA_QUICK($C$9,K58)</f>
        <v>1.878916737995</v>
      </c>
      <c r="L59" s="10">
        <f>[1]!EM_S_FA_QUICK($C$9,L58)</f>
        <v>2.3380918479670001</v>
      </c>
      <c r="M59" s="10">
        <f>[1]!EM_S_FA_QUICK($C$9,M58)</f>
        <v>2.694622297789</v>
      </c>
      <c r="N59" s="73" t="str">
        <f>IFERROR(IF(O59&gt;O60,"优","差"),"")</f>
        <v>优</v>
      </c>
      <c r="O59" s="46">
        <f>(M59*M57)+(L59*L57)+(K59*K57)+(J59*J57)+(I59*I57)+(H59*H57)+(G59*G57)+(F59*F57)+(E59*E57)+(D59*D57)</f>
        <v>2.3629739602207596</v>
      </c>
    </row>
    <row r="60" spans="1:15" ht="13.5" customHeight="1">
      <c r="C60" s="12" t="str">
        <f>C22</f>
        <v>饮料</v>
      </c>
      <c r="D60" s="10">
        <f>[1]!EM_BK_FA_ALL_QUICK($G$9,D58,"0")</f>
        <v>1.1270673843829684</v>
      </c>
      <c r="E60" s="10">
        <f>[1]!EM_BK_FA_ALL_QUICK($G$9,E58,"0")</f>
        <v>1.1750340827119419</v>
      </c>
      <c r="F60" s="10">
        <f>[1]!EM_BK_FA_ALL_QUICK($G$9,F58,"0")</f>
        <v>1.1577443562791008</v>
      </c>
      <c r="G60" s="10">
        <f>[1]!EM_BK_FA_ALL_QUICK($G$9,G58,"0")</f>
        <v>1.2704296236513777</v>
      </c>
      <c r="H60" s="10">
        <f>[1]!EM_BK_FA_ALL_QUICK($G$9,H58,"0")</f>
        <v>1.3172368560709351</v>
      </c>
      <c r="I60" s="10">
        <f>[1]!EM_BK_FA_ALL_QUICK($G$9,I58,"0")</f>
        <v>1.4515769699703032</v>
      </c>
      <c r="J60" s="10">
        <f>[1]!EM_BK_FA_ALL_QUICK($G$9,J58,"0")</f>
        <v>1.5687987182387704</v>
      </c>
      <c r="K60" s="10">
        <f>[1]!EM_BK_FA_ALL_QUICK($G$9,K58,"0")</f>
        <v>1.5731504433049563</v>
      </c>
      <c r="L60" s="10">
        <f>[1]!EM_BK_FA_ALL_QUICK($G$9,L58,"0")</f>
        <v>1.782182749005975</v>
      </c>
      <c r="M60" s="10">
        <f>[1]!EM_BK_FA_ALL_QUICK($G$9,M58,"0")</f>
        <v>1.9208281565978012</v>
      </c>
      <c r="N60" s="73"/>
      <c r="O60" s="46">
        <f>(M60*M57)+(L60*L57)+(K60*K57)+(J60*J57)+(I60*I57)+(H60*H57)+(G60*G57)+(F60*F57)+(E60*E57)+(D60*D57)</f>
        <v>1.7408094431290275</v>
      </c>
    </row>
    <row r="61" spans="1:15">
      <c r="C61" s="12" t="s">
        <v>138</v>
      </c>
      <c r="D61" s="10">
        <f>[1]!EM_BK_FA_ALL_QUICK("001004",D58,"0")</f>
        <v>0.71334805797865408</v>
      </c>
      <c r="E61" s="10">
        <f>[1]!EM_BK_FA_ALL_QUICK("001004",E58,"0")</f>
        <v>0.7407533941231933</v>
      </c>
      <c r="F61" s="10">
        <f>[1]!EM_BK_FA_ALL_QUICK("001004",F58,"0")</f>
        <v>0.73036134083023085</v>
      </c>
      <c r="G61" s="10">
        <f>[1]!EM_BK_FA_ALL_QUICK("001004",G58,"0")</f>
        <v>0.70022494861361928</v>
      </c>
      <c r="H61" s="10">
        <f>[1]!EM_BK_FA_ALL_QUICK("001004",H58,"0")</f>
        <v>0.68426765965325553</v>
      </c>
      <c r="I61" s="10">
        <f>[1]!EM_BK_FA_ALL_QUICK("001004",I58,"0")</f>
        <v>0.70320593699336786</v>
      </c>
      <c r="J61" s="10">
        <f>[1]!EM_BK_FA_ALL_QUICK("001004",J58,"0")</f>
        <v>0.74553115622325594</v>
      </c>
      <c r="K61" s="10">
        <f>[1]!EM_BK_FA_ALL_QUICK("001004",K58,"0")</f>
        <v>0.80076578546819632</v>
      </c>
      <c r="L61" s="10">
        <f>[1]!EM_BK_FA_ALL_QUICK("001004",L58,"0")</f>
        <v>0.80110835681680159</v>
      </c>
      <c r="M61" s="10">
        <f>[1]!EM_BK_FA_ALL_QUICK("001004",M58,"0")</f>
        <v>0.7926054481339605</v>
      </c>
      <c r="N61" s="73"/>
    </row>
    <row r="83" spans="3:14" ht="14.7" thickBot="1">
      <c r="C83" s="62"/>
      <c r="D83" s="63"/>
      <c r="E83" s="63"/>
      <c r="F83" s="63"/>
      <c r="G83" s="63"/>
      <c r="H83" s="63"/>
      <c r="I83" s="63"/>
      <c r="J83" s="63"/>
      <c r="K83" s="63"/>
      <c r="L83" s="63"/>
      <c r="M83" s="63"/>
      <c r="N83" s="63"/>
    </row>
    <row r="84" spans="3:14" ht="13.5" customHeight="1">
      <c r="C84" s="64" t="s">
        <v>213</v>
      </c>
      <c r="D84" s="65"/>
      <c r="E84" s="65"/>
      <c r="F84" s="65"/>
      <c r="G84" s="65"/>
      <c r="H84" s="65"/>
      <c r="I84" s="65"/>
      <c r="J84" s="65"/>
      <c r="K84" s="65"/>
      <c r="L84" s="65"/>
      <c r="M84" s="65"/>
      <c r="N84" s="66"/>
    </row>
    <row r="85" spans="3:14">
      <c r="C85" s="67"/>
      <c r="D85" s="68"/>
      <c r="E85" s="68"/>
      <c r="F85" s="68"/>
      <c r="G85" s="68"/>
      <c r="H85" s="68"/>
      <c r="I85" s="68"/>
      <c r="J85" s="68"/>
      <c r="K85" s="68"/>
      <c r="L85" s="68"/>
      <c r="M85" s="68"/>
      <c r="N85" s="69"/>
    </row>
    <row r="86" spans="3:14">
      <c r="C86" s="67"/>
      <c r="D86" s="68"/>
      <c r="E86" s="68"/>
      <c r="F86" s="68"/>
      <c r="G86" s="68"/>
      <c r="H86" s="68"/>
      <c r="I86" s="68"/>
      <c r="J86" s="68"/>
      <c r="K86" s="68"/>
      <c r="L86" s="68"/>
      <c r="M86" s="68"/>
      <c r="N86" s="69"/>
    </row>
    <row r="87" spans="3:14">
      <c r="C87" s="67"/>
      <c r="D87" s="68"/>
      <c r="E87" s="68"/>
      <c r="F87" s="68"/>
      <c r="G87" s="68"/>
      <c r="H87" s="68"/>
      <c r="I87" s="68"/>
      <c r="J87" s="68"/>
      <c r="K87" s="68"/>
      <c r="L87" s="68"/>
      <c r="M87" s="68"/>
      <c r="N87" s="69"/>
    </row>
    <row r="88" spans="3:14">
      <c r="C88" s="67"/>
      <c r="D88" s="68"/>
      <c r="E88" s="68"/>
      <c r="F88" s="68"/>
      <c r="G88" s="68"/>
      <c r="H88" s="68"/>
      <c r="I88" s="68"/>
      <c r="J88" s="68"/>
      <c r="K88" s="68"/>
      <c r="L88" s="68"/>
      <c r="M88" s="68"/>
      <c r="N88" s="69"/>
    </row>
    <row r="89" spans="3:14" ht="14.7" thickBot="1">
      <c r="C89" s="70"/>
      <c r="D89" s="71"/>
      <c r="E89" s="71"/>
      <c r="F89" s="71"/>
      <c r="G89" s="71"/>
      <c r="H89" s="71"/>
      <c r="I89" s="71"/>
      <c r="J89" s="71"/>
      <c r="K89" s="71"/>
      <c r="L89" s="71"/>
      <c r="M89" s="71"/>
      <c r="N89" s="72"/>
    </row>
    <row r="90" spans="3:14">
      <c r="C90" s="62"/>
      <c r="D90" s="63"/>
      <c r="E90" s="63"/>
      <c r="F90" s="63"/>
      <c r="G90" s="63"/>
      <c r="H90" s="63"/>
      <c r="I90" s="63"/>
      <c r="J90" s="63"/>
      <c r="K90" s="63"/>
      <c r="L90" s="63"/>
      <c r="M90" s="63"/>
      <c r="N90" s="63"/>
    </row>
    <row r="91" spans="3:14">
      <c r="C91" s="19"/>
      <c r="D91" s="20"/>
      <c r="E91" s="20"/>
      <c r="F91" s="20"/>
      <c r="G91" s="20"/>
      <c r="H91" s="20"/>
      <c r="I91" s="20"/>
      <c r="J91" s="20"/>
      <c r="K91" s="20"/>
      <c r="L91" s="20"/>
      <c r="M91" s="20"/>
      <c r="N91" s="20"/>
    </row>
    <row r="92" spans="3:14">
      <c r="C92" s="19"/>
      <c r="D92" s="20"/>
      <c r="E92" s="20"/>
      <c r="F92" s="20"/>
      <c r="G92" s="20"/>
      <c r="H92" s="20"/>
      <c r="I92" s="20"/>
      <c r="J92" s="20"/>
      <c r="K92" s="20"/>
      <c r="L92" s="20"/>
      <c r="M92" s="20"/>
      <c r="N92" s="20"/>
    </row>
    <row r="93" spans="3:14">
      <c r="C93" s="19"/>
      <c r="D93" s="20"/>
      <c r="E93" s="20"/>
      <c r="F93" s="20"/>
      <c r="G93" s="20"/>
      <c r="H93" s="20"/>
      <c r="I93" s="20"/>
      <c r="J93" s="20"/>
      <c r="K93" s="20"/>
      <c r="L93" s="20"/>
      <c r="M93" s="20"/>
      <c r="N93" s="20"/>
    </row>
    <row r="94" spans="3:14">
      <c r="C94" s="19"/>
      <c r="D94" s="20"/>
      <c r="E94" s="20"/>
      <c r="F94" s="20"/>
      <c r="G94" s="20"/>
      <c r="H94" s="20"/>
      <c r="I94" s="20"/>
      <c r="J94" s="20"/>
      <c r="K94" s="20"/>
      <c r="L94" s="20"/>
      <c r="M94" s="20"/>
      <c r="N94" s="20"/>
    </row>
    <row r="97" spans="1:15">
      <c r="A97" s="74" t="s">
        <v>121</v>
      </c>
      <c r="B97" s="75" t="s">
        <v>120</v>
      </c>
      <c r="C97" s="75"/>
    </row>
    <row r="98" spans="1:15">
      <c r="A98" s="74"/>
      <c r="B98" s="75"/>
      <c r="C98" s="75"/>
    </row>
    <row r="99" spans="1:15">
      <c r="A99" s="74"/>
      <c r="B99" s="75"/>
      <c r="C99" s="75"/>
      <c r="D99" s="48" t="str">
        <f>D57</f>
        <v>0.5%</v>
      </c>
      <c r="E99" s="48" t="str">
        <f t="shared" ref="E99:M99" si="5">E57</f>
        <v>0.5%</v>
      </c>
      <c r="F99" s="48" t="str">
        <f t="shared" si="5"/>
        <v>0.5%</v>
      </c>
      <c r="G99" s="48" t="str">
        <f t="shared" si="5"/>
        <v>0.5%</v>
      </c>
      <c r="H99" s="48" t="str">
        <f t="shared" si="5"/>
        <v>0.5%</v>
      </c>
      <c r="I99" s="48" t="str">
        <f t="shared" si="5"/>
        <v>1%</v>
      </c>
      <c r="J99" s="48" t="str">
        <f t="shared" si="5"/>
        <v>5%</v>
      </c>
      <c r="K99" s="48" t="str">
        <f t="shared" si="5"/>
        <v>20%</v>
      </c>
      <c r="L99" s="48" t="str">
        <f t="shared" si="5"/>
        <v>30%</v>
      </c>
      <c r="M99" s="48" t="str">
        <f t="shared" si="5"/>
        <v>40%</v>
      </c>
    </row>
    <row r="100" spans="1:15" ht="13.5" customHeight="1">
      <c r="D100" s="11" t="str">
        <f>D58</f>
        <v>2009-12-31</v>
      </c>
      <c r="E100" s="11" t="str">
        <f t="shared" ref="E100:M100" si="6">E58</f>
        <v>2010-12-31</v>
      </c>
      <c r="F100" s="11" t="str">
        <f t="shared" si="6"/>
        <v>2011-12-31</v>
      </c>
      <c r="G100" s="11" t="str">
        <f t="shared" si="6"/>
        <v>2012-12-31</v>
      </c>
      <c r="H100" s="11" t="str">
        <f t="shared" si="6"/>
        <v>2013-12-31</v>
      </c>
      <c r="I100" s="11" t="str">
        <f t="shared" si="6"/>
        <v>2014-12-31</v>
      </c>
      <c r="J100" s="11" t="str">
        <f t="shared" si="6"/>
        <v>2015-12-31</v>
      </c>
      <c r="K100" s="11" t="str">
        <f t="shared" si="6"/>
        <v>2016-12-31</v>
      </c>
      <c r="L100" s="11" t="str">
        <f t="shared" si="6"/>
        <v>2017-12-31</v>
      </c>
      <c r="M100" s="11" t="str">
        <f t="shared" si="6"/>
        <v>2018-12-31</v>
      </c>
      <c r="N100" s="14" t="s">
        <v>119</v>
      </c>
    </row>
    <row r="101" spans="1:15" ht="13.5" customHeight="1">
      <c r="C101" s="12" t="str">
        <f>C59</f>
        <v>贵州茅台</v>
      </c>
      <c r="D101" s="10">
        <f>[1]!EM_S_FA_DEBTTOEQUITY($C$9,D100)</f>
        <v>0.35379951774599999</v>
      </c>
      <c r="E101" s="10">
        <f>[1]!EM_S_FA_DEBTTOEQUITY($C$9,E100)</f>
        <v>0.38253582672500003</v>
      </c>
      <c r="F101" s="10">
        <f>[1]!EM_S_FA_DEBTTOEQUITY($C$9,F100)</f>
        <v>0.38003365087699997</v>
      </c>
      <c r="G101" s="10">
        <f>[1]!EM_S_FA_DEBTTOEQUITY($C$9,G100)</f>
        <v>0.27948079713000001</v>
      </c>
      <c r="H101" s="10">
        <f>[1]!EM_S_FA_DEBTTOEQUITY($C$9,H100)</f>
        <v>0.265707871082</v>
      </c>
      <c r="I101" s="10">
        <f>[1]!EM_S_FA_DEBTTOEQUITY($C$9,I100)</f>
        <v>0.19767050031399999</v>
      </c>
      <c r="J101" s="10">
        <f>[1]!EM_S_FA_DEBTTOEQUITY($C$9,J100)</f>
        <v>0.31391452257000002</v>
      </c>
      <c r="K101" s="10">
        <f>[1]!EM_S_FA_DEBTTOEQUITY($C$9,K100)</f>
        <v>0.508079202964</v>
      </c>
      <c r="L101" s="10">
        <f>[1]!EM_S_FA_DEBTTOEQUITY($C$9,L100)</f>
        <v>0.42197754839099999</v>
      </c>
      <c r="M101" s="10">
        <f>[1]!EM_S_FA_DEBTTOEQUITY($C$9,M100)</f>
        <v>0.37609647964499998</v>
      </c>
      <c r="N101" s="73" t="str">
        <f>IFERROR(IF(O101&lt;O102,"优","差"),"")</f>
        <v>优</v>
      </c>
      <c r="O101" s="46">
        <f>(M101*M99)+(L101*L99)+(K101*K99)+(J101*J99)+(I101*I99)+(H101*H99)+(G101*G99)+(F101*F99)+(E101*E99)+(D101*D99)</f>
        <v>0.40462791641754003</v>
      </c>
    </row>
    <row r="102" spans="1:15" ht="13.5" customHeight="1">
      <c r="C102" s="12" t="str">
        <f>C60</f>
        <v>饮料</v>
      </c>
      <c r="D102" s="10">
        <f>[1]!EM_BK_FA_ALL_DEBTTOEQUITY($G$9,D100,"0")</f>
        <v>0.60898413620648817</v>
      </c>
      <c r="E102" s="10">
        <f>[1]!EM_BK_FA_ALL_DEBTTOEQUITY($G$9,E100,"0")</f>
        <v>0.67164365920065849</v>
      </c>
      <c r="F102" s="10">
        <f>[1]!EM_BK_FA_ALL_DEBTTOEQUITY($G$9,F100,"0")</f>
        <v>0.71827037653940362</v>
      </c>
      <c r="G102" s="10">
        <f>[1]!EM_BK_FA_ALL_DEBTTOEQUITY($G$9,G100,"0")</f>
        <v>0.62936431670878479</v>
      </c>
      <c r="H102" s="10">
        <f>[1]!EM_BK_FA_ALL_DEBTTOEQUITY($G$9,H100,"0")</f>
        <v>0.5271658350763947</v>
      </c>
      <c r="I102" s="10">
        <f>[1]!EM_BK_FA_ALL_DEBTTOEQUITY($G$9,I100,"0")</f>
        <v>0.4400151595852258</v>
      </c>
      <c r="J102" s="10">
        <f>[1]!EM_BK_FA_ALL_DEBTTOEQUITY($G$9,J100,"0")</f>
        <v>0.45201511595730171</v>
      </c>
      <c r="K102" s="10">
        <f>[1]!EM_BK_FA_ALL_DEBTTOEQUITY($G$9,K100,"0")</f>
        <v>0.51136090849064919</v>
      </c>
      <c r="L102" s="10">
        <f>[1]!EM_BK_FA_ALL_DEBTTOEQUITY($G$9,L100,"0")</f>
        <v>0.47203858818287514</v>
      </c>
      <c r="M102" s="10">
        <f>[1]!EM_BK_FA_ALL_DEBTTOEQUITY($G$9,M100,"0")</f>
        <v>0.46603034577265467</v>
      </c>
      <c r="N102" s="73"/>
      <c r="O102" s="46">
        <f>(M102*M99)+(L102*L99)+(K102*K99)+(J102*J99)+(I102*I99)+(H102*H99)+(G102*G99)+(F102*F99)+(E102*E99)+(D102*D99)</f>
        <v>0.47307394547443027</v>
      </c>
    </row>
    <row r="103" spans="1:15">
      <c r="C103" s="12" t="s">
        <v>138</v>
      </c>
      <c r="D103" s="10">
        <f>[1]!EM_BK_FA_ALL_DEBTTOEQUITY("001004",D100,"0")</f>
        <v>6.8814904900428049</v>
      </c>
      <c r="E103" s="10">
        <f>[1]!EM_BK_FA_ALL_DEBTTOEQUITY("001004",E100,"0")</f>
        <v>6.4800230678547051</v>
      </c>
      <c r="F103" s="10">
        <f>[1]!EM_BK_FA_ALL_DEBTTOEQUITY("001004",F100,"0")</f>
        <v>6.4687141896013909</v>
      </c>
      <c r="G103" s="10">
        <f>[1]!EM_BK_FA_ALL_DEBTTOEQUITY("001004",G100,"0")</f>
        <v>6.5317935876276172</v>
      </c>
      <c r="H103" s="10">
        <f>[1]!EM_BK_FA_ALL_DEBTTOEQUITY("001004",H100,"0")</f>
        <v>6.5054879530154333</v>
      </c>
      <c r="I103" s="10">
        <f>[1]!EM_BK_FA_ALL_DEBTTOEQUITY("001004",I100,"0")</f>
        <v>6.266279250784847</v>
      </c>
      <c r="J103" s="10">
        <f>[1]!EM_BK_FA_ALL_DEBTTOEQUITY("001004",J100,"0")</f>
        <v>6.0182427935628215</v>
      </c>
      <c r="K103" s="10">
        <f>[1]!EM_BK_FA_ALL_DEBTTOEQUITY("001004",K100,"0")</f>
        <v>5.9644816388186896</v>
      </c>
      <c r="L103" s="10">
        <f>[1]!EM_BK_FA_ALL_DEBTTOEQUITY("001004",L100,"0")</f>
        <v>5.7162029328785122</v>
      </c>
      <c r="M103" s="10">
        <f>[1]!EM_BK_FA_ALL_DEBTTOEQUITY("001004",M100,"0")</f>
        <v>5.6265886108084411</v>
      </c>
      <c r="N103" s="73"/>
    </row>
    <row r="125" spans="3:14" ht="14.7" thickBot="1">
      <c r="C125" s="62"/>
      <c r="D125" s="63"/>
      <c r="E125" s="63"/>
      <c r="F125" s="63"/>
      <c r="G125" s="63"/>
      <c r="H125" s="63"/>
      <c r="I125" s="63"/>
      <c r="J125" s="63"/>
      <c r="K125" s="63"/>
      <c r="L125" s="63"/>
      <c r="M125" s="63"/>
      <c r="N125" s="63"/>
    </row>
    <row r="126" spans="3:14" ht="13.5" customHeight="1">
      <c r="C126" s="64" t="s">
        <v>122</v>
      </c>
      <c r="D126" s="65"/>
      <c r="E126" s="65"/>
      <c r="F126" s="65"/>
      <c r="G126" s="65"/>
      <c r="H126" s="65"/>
      <c r="I126" s="65"/>
      <c r="J126" s="65"/>
      <c r="K126" s="65"/>
      <c r="L126" s="65"/>
      <c r="M126" s="65"/>
      <c r="N126" s="66"/>
    </row>
    <row r="127" spans="3:14">
      <c r="C127" s="67"/>
      <c r="D127" s="68"/>
      <c r="E127" s="68"/>
      <c r="F127" s="68"/>
      <c r="G127" s="68"/>
      <c r="H127" s="68"/>
      <c r="I127" s="68"/>
      <c r="J127" s="68"/>
      <c r="K127" s="68"/>
      <c r="L127" s="68"/>
      <c r="M127" s="68"/>
      <c r="N127" s="69"/>
    </row>
    <row r="128" spans="3:14" ht="14.7" thickBot="1">
      <c r="C128" s="70"/>
      <c r="D128" s="71"/>
      <c r="E128" s="71"/>
      <c r="F128" s="71"/>
      <c r="G128" s="71"/>
      <c r="H128" s="71"/>
      <c r="I128" s="71"/>
      <c r="J128" s="71"/>
      <c r="K128" s="71"/>
      <c r="L128" s="71"/>
      <c r="M128" s="71"/>
      <c r="N128" s="72"/>
    </row>
    <row r="129" spans="1:15">
      <c r="C129" s="80"/>
      <c r="D129" s="81"/>
      <c r="E129" s="81"/>
      <c r="F129" s="81"/>
      <c r="G129" s="81"/>
      <c r="H129" s="81"/>
      <c r="I129" s="81"/>
      <c r="J129" s="81"/>
      <c r="K129" s="81"/>
      <c r="L129" s="81"/>
      <c r="M129" s="81"/>
      <c r="N129" s="81"/>
    </row>
    <row r="130" spans="1:15">
      <c r="C130" s="21"/>
      <c r="D130" s="22"/>
      <c r="E130" s="22"/>
      <c r="F130" s="22"/>
      <c r="G130" s="22"/>
      <c r="H130" s="22"/>
      <c r="I130" s="22"/>
      <c r="J130" s="22"/>
      <c r="K130" s="22"/>
      <c r="L130" s="22"/>
      <c r="M130" s="22"/>
      <c r="N130" s="22"/>
    </row>
    <row r="131" spans="1:15">
      <c r="C131" s="21"/>
      <c r="D131" s="22"/>
      <c r="E131" s="22"/>
      <c r="F131" s="22"/>
      <c r="G131" s="22"/>
      <c r="H131" s="22"/>
      <c r="I131" s="22"/>
      <c r="J131" s="22"/>
      <c r="K131" s="22"/>
      <c r="L131" s="22"/>
      <c r="M131" s="22"/>
      <c r="N131" s="22"/>
    </row>
    <row r="132" spans="1:15">
      <c r="C132" s="21"/>
      <c r="D132" s="22"/>
      <c r="E132" s="22"/>
      <c r="F132" s="22"/>
      <c r="G132" s="22"/>
      <c r="H132" s="22"/>
      <c r="I132" s="22"/>
      <c r="J132" s="22"/>
      <c r="K132" s="22"/>
      <c r="L132" s="22"/>
      <c r="M132" s="22"/>
      <c r="N132" s="22"/>
    </row>
    <row r="134" spans="1:15">
      <c r="C134" s="15"/>
      <c r="D134" s="15"/>
      <c r="E134" s="15"/>
      <c r="F134" s="15"/>
      <c r="G134" s="15"/>
      <c r="H134" s="15"/>
      <c r="I134" s="15"/>
      <c r="J134" s="15"/>
      <c r="K134" s="15"/>
      <c r="L134" s="15"/>
      <c r="M134" s="15"/>
      <c r="N134" s="15"/>
    </row>
    <row r="136" spans="1:15">
      <c r="A136" s="74" t="s">
        <v>123</v>
      </c>
      <c r="B136" s="75" t="s">
        <v>124</v>
      </c>
      <c r="C136" s="75"/>
    </row>
    <row r="137" spans="1:15">
      <c r="A137" s="74"/>
      <c r="B137" s="75"/>
      <c r="C137" s="75"/>
    </row>
    <row r="138" spans="1:15">
      <c r="A138" s="74"/>
      <c r="B138" s="75"/>
      <c r="C138" s="75"/>
      <c r="D138" s="48" t="str">
        <f>D$19</f>
        <v>0.5%</v>
      </c>
      <c r="E138" s="48" t="str">
        <f t="shared" ref="E138:M138" si="7">E$19</f>
        <v>0.5%</v>
      </c>
      <c r="F138" s="48" t="str">
        <f t="shared" si="7"/>
        <v>0.5%</v>
      </c>
      <c r="G138" s="48" t="str">
        <f t="shared" si="7"/>
        <v>0.5%</v>
      </c>
      <c r="H138" s="48" t="str">
        <f t="shared" si="7"/>
        <v>0.5%</v>
      </c>
      <c r="I138" s="48" t="str">
        <f t="shared" si="7"/>
        <v>1%</v>
      </c>
      <c r="J138" s="48" t="str">
        <f t="shared" si="7"/>
        <v>5%</v>
      </c>
      <c r="K138" s="48" t="str">
        <f t="shared" si="7"/>
        <v>20%</v>
      </c>
      <c r="L138" s="48" t="str">
        <f t="shared" si="7"/>
        <v>30%</v>
      </c>
      <c r="M138" s="48" t="str">
        <f t="shared" si="7"/>
        <v>40%</v>
      </c>
    </row>
    <row r="139" spans="1:15" ht="13.5" customHeight="1">
      <c r="D139" s="11" t="str">
        <f>D$20</f>
        <v>2009-12-31</v>
      </c>
      <c r="E139" s="11" t="str">
        <f t="shared" ref="E139:M139" si="8">E$20</f>
        <v>2010-12-31</v>
      </c>
      <c r="F139" s="11" t="str">
        <f t="shared" si="8"/>
        <v>2011-12-31</v>
      </c>
      <c r="G139" s="11" t="str">
        <f t="shared" si="8"/>
        <v>2012-12-31</v>
      </c>
      <c r="H139" s="11" t="str">
        <f t="shared" si="8"/>
        <v>2013-12-31</v>
      </c>
      <c r="I139" s="11" t="str">
        <f t="shared" si="8"/>
        <v>2014-12-31</v>
      </c>
      <c r="J139" s="11" t="str">
        <f t="shared" si="8"/>
        <v>2015-12-31</v>
      </c>
      <c r="K139" s="11" t="str">
        <f t="shared" si="8"/>
        <v>2016-12-31</v>
      </c>
      <c r="L139" s="11" t="str">
        <f t="shared" si="8"/>
        <v>2017-12-31</v>
      </c>
      <c r="M139" s="11" t="str">
        <f t="shared" si="8"/>
        <v>2018-12-31</v>
      </c>
      <c r="N139" s="14" t="s">
        <v>119</v>
      </c>
    </row>
    <row r="140" spans="1:15" ht="13.5" customHeight="1">
      <c r="C140" s="12" t="str">
        <f>C101</f>
        <v>贵州茅台</v>
      </c>
      <c r="D140" s="10">
        <f>[1]!EM_S_FA_DEBTTOASSETS($C$9,D139)</f>
        <v>25.888494258400002</v>
      </c>
      <c r="E140" s="10">
        <f>[1]!EM_S_FA_DEBTTOASSETS($C$9,E139)</f>
        <v>27.5062755539</v>
      </c>
      <c r="F140" s="10">
        <f>[1]!EM_S_FA_DEBTTOASSETS($C$9,F139)</f>
        <v>27.2127590027</v>
      </c>
      <c r="G140" s="10">
        <f>[1]!EM_S_FA_DEBTTOASSETS($C$9,G139)</f>
        <v>21.210116531699999</v>
      </c>
      <c r="H140" s="10">
        <f>[1]!EM_S_FA_DEBTTOASSETS($C$9,H139)</f>
        <v>20.422381851499999</v>
      </c>
      <c r="I140" s="10">
        <f>[1]!EM_S_FA_DEBTTOASSETS($C$9,I139)</f>
        <v>16.033257772700001</v>
      </c>
      <c r="J140" s="10">
        <f>[1]!EM_S_FA_DEBTTOASSETS($C$9,J139)</f>
        <v>23.252552396700001</v>
      </c>
      <c r="K140" s="10">
        <f>[1]!EM_S_FA_DEBTTOASSETS($C$9,K139)</f>
        <v>32.794215117599997</v>
      </c>
      <c r="L140" s="10">
        <f>[1]!EM_S_FA_DEBTTOASSETS($C$9,L139)</f>
        <v>28.668342540600001</v>
      </c>
      <c r="M140" s="10">
        <f>[1]!EM_S_FA_DEBTTOASSETS($C$9,M139)</f>
        <v>26.549308506799999</v>
      </c>
      <c r="N140" s="73" t="str">
        <f>IFERROR(IF(O140&lt;O141,"优","差"),"")</f>
        <v>优</v>
      </c>
      <c r="O140" s="46">
        <f>(M140*M138)+(L140*L138)+(K140*K138)+(J140*J138)+(I140*I138)+(H140*H138)+(G140*G138)+(F140*F138)+(E140*E138)+(D140*D138)</f>
        <v>27.713229521972991</v>
      </c>
    </row>
    <row r="141" spans="1:15" ht="13.5" customHeight="1">
      <c r="C141" s="12" t="str">
        <f>C102</f>
        <v>饮料</v>
      </c>
      <c r="D141" s="10">
        <f>[1]!EM_BK_FA_ALL_DEBTTOASSETS($G$9,D139,"0")</f>
        <v>36.708736201721756</v>
      </c>
      <c r="E141" s="10">
        <f>[1]!EM_BK_FA_ALL_DEBTTOASSETS($G$9,E139,"0")</f>
        <v>39.178081127750445</v>
      </c>
      <c r="F141" s="10">
        <f>[1]!EM_BK_FA_ALL_DEBTTOASSETS($G$9,F139,"0")</f>
        <v>41.026110727444554</v>
      </c>
      <c r="G141" s="10">
        <f>[1]!EM_BK_FA_ALL_DEBTTOASSETS($G$9,G139,"0")</f>
        <v>37.779678963039423</v>
      </c>
      <c r="H141" s="10">
        <f>[1]!EM_BK_FA_ALL_DEBTTOASSETS($G$9,H139,"0")</f>
        <v>33.816236312719631</v>
      </c>
      <c r="I141" s="10">
        <f>[1]!EM_BK_FA_ALL_DEBTTOASSETS($G$9,I139,"0")</f>
        <v>29.962111001819409</v>
      </c>
      <c r="J141" s="10">
        <f>[1]!EM_BK_FA_ALL_DEBTTOASSETS($G$9,J139,"0")</f>
        <v>30.576450834864811</v>
      </c>
      <c r="K141" s="10">
        <f>[1]!EM_BK_FA_ALL_DEBTTOASSETS($G$9,K139,"0")</f>
        <v>33.178423576906638</v>
      </c>
      <c r="L141" s="10">
        <f>[1]!EM_BK_FA_ALL_DEBTTOASSETS($G$9,L139,"0")</f>
        <v>31.38626057846286</v>
      </c>
      <c r="M141" s="10">
        <f>[1]!EM_BK_FA_ALL_DEBTTOASSETS($G$9,M139,"0")</f>
        <v>31.184429763728229</v>
      </c>
      <c r="N141" s="73"/>
      <c r="O141" s="46">
        <f>(M141*M138)+(L141*L138)+(K141*K138)+(J141*J138)+(I141*I138)+(H141*H138)+(G141*G138)+(F141*F138)+(E141*E138)+(D141*D138)</f>
        <v>31.296322662836289</v>
      </c>
    </row>
    <row r="142" spans="1:15">
      <c r="C142" s="12" t="s">
        <v>138</v>
      </c>
      <c r="D142" s="10">
        <f>[1]!EM_BK_FA_ALL_DEBTTOASSETS("001004",D139,"0")</f>
        <v>86.388906899448386</v>
      </c>
      <c r="E142" s="10">
        <f>[1]!EM_BK_FA_ALL_DEBTTOASSETS("001004",E139,"0")</f>
        <v>85.720163479353175</v>
      </c>
      <c r="F142" s="10">
        <f>[1]!EM_BK_FA_ALL_DEBTTOASSETS("001004",F139,"0")</f>
        <v>85.666697174424073</v>
      </c>
      <c r="G142" s="10">
        <f>[1]!EM_BK_FA_ALL_DEBTTOASSETS("001004",G139,"0")</f>
        <v>85.767704936256763</v>
      </c>
      <c r="H142" s="10">
        <f>[1]!EM_BK_FA_ALL_DEBTTOASSETS("001004",H139,"0")</f>
        <v>85.701601886956965</v>
      </c>
      <c r="I142" s="10">
        <f>[1]!EM_BK_FA_ALL_DEBTTOASSETS("001004",I139,"0")</f>
        <v>85.262939815208995</v>
      </c>
      <c r="J142" s="10">
        <f>[1]!EM_BK_FA_ALL_DEBTTOASSETS("001004",J139,"0")</f>
        <v>84.730595215814049</v>
      </c>
      <c r="K142" s="10">
        <f>[1]!EM_BK_FA_ALL_DEBTTOASSETS("001004",K139,"0")</f>
        <v>84.539229740678948</v>
      </c>
      <c r="L142" s="10">
        <f>[1]!EM_BK_FA_ALL_DEBTTOASSETS("001004",L139,"0")</f>
        <v>83.925361178796337</v>
      </c>
      <c r="M142" s="10">
        <f>[1]!EM_BK_FA_ALL_DEBTTOASSETS("001004",M139,"0")</f>
        <v>83.604367379735734</v>
      </c>
      <c r="N142" s="73"/>
    </row>
    <row r="164" spans="1:14" ht="14.7" thickBot="1">
      <c r="C164" s="62"/>
      <c r="D164" s="63"/>
      <c r="E164" s="63"/>
      <c r="F164" s="63"/>
      <c r="G164" s="63"/>
      <c r="H164" s="63"/>
      <c r="I164" s="63"/>
      <c r="J164" s="63"/>
      <c r="K164" s="63"/>
      <c r="L164" s="63"/>
      <c r="M164" s="63"/>
      <c r="N164" s="63"/>
    </row>
    <row r="165" spans="1:14" ht="13.5" customHeight="1">
      <c r="C165" s="64" t="s">
        <v>125</v>
      </c>
      <c r="D165" s="65"/>
      <c r="E165" s="65"/>
      <c r="F165" s="65"/>
      <c r="G165" s="65"/>
      <c r="H165" s="65"/>
      <c r="I165" s="65"/>
      <c r="J165" s="65"/>
      <c r="K165" s="65"/>
      <c r="L165" s="65"/>
      <c r="M165" s="65"/>
      <c r="N165" s="66"/>
    </row>
    <row r="166" spans="1:14">
      <c r="C166" s="67"/>
      <c r="D166" s="68"/>
      <c r="E166" s="68"/>
      <c r="F166" s="68"/>
      <c r="G166" s="68"/>
      <c r="H166" s="68"/>
      <c r="I166" s="68"/>
      <c r="J166" s="68"/>
      <c r="K166" s="68"/>
      <c r="L166" s="68"/>
      <c r="M166" s="68"/>
      <c r="N166" s="69"/>
    </row>
    <row r="167" spans="1:14">
      <c r="C167" s="67"/>
      <c r="D167" s="68"/>
      <c r="E167" s="68"/>
      <c r="F167" s="68"/>
      <c r="G167" s="68"/>
      <c r="H167" s="68"/>
      <c r="I167" s="68"/>
      <c r="J167" s="68"/>
      <c r="K167" s="68"/>
      <c r="L167" s="68"/>
      <c r="M167" s="68"/>
      <c r="N167" s="69"/>
    </row>
    <row r="168" spans="1:14" ht="14.7" thickBot="1">
      <c r="C168" s="70"/>
      <c r="D168" s="71"/>
      <c r="E168" s="71"/>
      <c r="F168" s="71"/>
      <c r="G168" s="71"/>
      <c r="H168" s="71"/>
      <c r="I168" s="71"/>
      <c r="J168" s="71"/>
      <c r="K168" s="71"/>
      <c r="L168" s="71"/>
      <c r="M168" s="71"/>
      <c r="N168" s="72"/>
    </row>
    <row r="169" spans="1:14">
      <c r="C169" s="62"/>
      <c r="D169" s="63"/>
      <c r="E169" s="63"/>
      <c r="F169" s="63"/>
      <c r="G169" s="63"/>
      <c r="H169" s="63"/>
      <c r="I169" s="63"/>
      <c r="J169" s="63"/>
      <c r="K169" s="63"/>
      <c r="L169" s="63"/>
      <c r="M169" s="63"/>
      <c r="N169" s="63"/>
    </row>
    <row r="170" spans="1:14">
      <c r="C170" s="19"/>
      <c r="D170" s="20"/>
      <c r="E170" s="20"/>
      <c r="F170" s="20"/>
      <c r="G170" s="20"/>
      <c r="H170" s="20"/>
      <c r="I170" s="20"/>
      <c r="J170" s="20"/>
      <c r="K170" s="20"/>
      <c r="L170" s="20"/>
      <c r="M170" s="20"/>
      <c r="N170" s="20"/>
    </row>
    <row r="171" spans="1:14">
      <c r="C171" s="19"/>
      <c r="D171" s="20"/>
      <c r="E171" s="20"/>
      <c r="F171" s="20"/>
      <c r="G171" s="20"/>
      <c r="H171" s="20"/>
      <c r="I171" s="20"/>
      <c r="J171" s="20"/>
      <c r="K171" s="20"/>
      <c r="L171" s="20"/>
      <c r="M171" s="20"/>
      <c r="N171" s="20"/>
    </row>
    <row r="172" spans="1:14">
      <c r="C172" s="19"/>
      <c r="D172" s="20"/>
      <c r="E172" s="20"/>
      <c r="F172" s="20"/>
      <c r="G172" s="20"/>
      <c r="H172" s="20"/>
      <c r="I172" s="20"/>
      <c r="J172" s="20"/>
      <c r="K172" s="20"/>
      <c r="L172" s="20"/>
      <c r="M172" s="20"/>
      <c r="N172" s="20"/>
    </row>
    <row r="173" spans="1:14">
      <c r="C173" s="19"/>
      <c r="D173" s="20"/>
      <c r="E173" s="20"/>
      <c r="F173" s="20"/>
      <c r="G173" s="20"/>
      <c r="H173" s="20"/>
      <c r="I173" s="20"/>
      <c r="J173" s="20"/>
      <c r="K173" s="20"/>
      <c r="L173" s="20"/>
      <c r="M173" s="20"/>
      <c r="N173" s="20"/>
    </row>
    <row r="174" spans="1:14">
      <c r="C174" s="15"/>
      <c r="D174" s="15"/>
      <c r="E174" s="15"/>
      <c r="F174" s="15"/>
      <c r="G174" s="15"/>
      <c r="H174" s="15"/>
      <c r="I174" s="15"/>
      <c r="J174" s="15"/>
      <c r="K174" s="15"/>
      <c r="L174" s="15"/>
      <c r="M174" s="15"/>
      <c r="N174" s="15"/>
    </row>
    <row r="176" spans="1:14" ht="13.5" customHeight="1">
      <c r="A176" s="74" t="s">
        <v>127</v>
      </c>
      <c r="B176" s="79" t="s">
        <v>126</v>
      </c>
      <c r="C176" s="79"/>
    </row>
    <row r="177" spans="1:15" ht="13.5" customHeight="1">
      <c r="A177" s="74"/>
      <c r="B177" s="79"/>
      <c r="C177" s="79"/>
    </row>
    <row r="178" spans="1:15" ht="13.5" customHeight="1">
      <c r="A178" s="74"/>
      <c r="B178" s="79"/>
      <c r="C178" s="79"/>
      <c r="D178" s="48" t="str">
        <f>D$19</f>
        <v>0.5%</v>
      </c>
      <c r="E178" s="48" t="str">
        <f t="shared" ref="E178:M178" si="9">E$19</f>
        <v>0.5%</v>
      </c>
      <c r="F178" s="48" t="str">
        <f t="shared" si="9"/>
        <v>0.5%</v>
      </c>
      <c r="G178" s="48" t="str">
        <f t="shared" si="9"/>
        <v>0.5%</v>
      </c>
      <c r="H178" s="48" t="str">
        <f t="shared" si="9"/>
        <v>0.5%</v>
      </c>
      <c r="I178" s="48" t="str">
        <f t="shared" si="9"/>
        <v>1%</v>
      </c>
      <c r="J178" s="48" t="str">
        <f t="shared" si="9"/>
        <v>5%</v>
      </c>
      <c r="K178" s="48" t="str">
        <f t="shared" si="9"/>
        <v>20%</v>
      </c>
      <c r="L178" s="48" t="str">
        <f t="shared" si="9"/>
        <v>30%</v>
      </c>
      <c r="M178" s="48" t="str">
        <f t="shared" si="9"/>
        <v>40%</v>
      </c>
    </row>
    <row r="179" spans="1:15" ht="13.5" customHeight="1">
      <c r="B179" s="79"/>
      <c r="C179" s="79"/>
      <c r="D179" s="11" t="str">
        <f>D$20</f>
        <v>2009-12-31</v>
      </c>
      <c r="E179" s="11" t="str">
        <f t="shared" ref="E179:M179" si="10">E$20</f>
        <v>2010-12-31</v>
      </c>
      <c r="F179" s="11" t="str">
        <f t="shared" si="10"/>
        <v>2011-12-31</v>
      </c>
      <c r="G179" s="11" t="str">
        <f t="shared" si="10"/>
        <v>2012-12-31</v>
      </c>
      <c r="H179" s="11" t="str">
        <f t="shared" si="10"/>
        <v>2013-12-31</v>
      </c>
      <c r="I179" s="11" t="str">
        <f t="shared" si="10"/>
        <v>2014-12-31</v>
      </c>
      <c r="J179" s="11" t="str">
        <f t="shared" si="10"/>
        <v>2015-12-31</v>
      </c>
      <c r="K179" s="11" t="str">
        <f t="shared" si="10"/>
        <v>2016-12-31</v>
      </c>
      <c r="L179" s="11" t="str">
        <f t="shared" si="10"/>
        <v>2017-12-31</v>
      </c>
      <c r="M179" s="11" t="str">
        <f t="shared" si="10"/>
        <v>2018-12-31</v>
      </c>
      <c r="N179" s="14" t="s">
        <v>119</v>
      </c>
    </row>
    <row r="180" spans="1:15" ht="13.5" customHeight="1">
      <c r="C180" s="12" t="str">
        <f>C140</f>
        <v>贵州茅台</v>
      </c>
      <c r="D180" s="10">
        <f>[1]!EM_S_FA_CURRENTDEBTTODEBT($C$9,D179)</f>
        <v>99.804613381099998</v>
      </c>
      <c r="E180" s="10">
        <f>[1]!EM_S_FA_CURRENTDEBTTODEBT($C$9,E179)</f>
        <v>99.8579180208</v>
      </c>
      <c r="F180" s="10">
        <f>[1]!EM_S_FA_CURRENTDEBTTODEBT($C$9,F179)</f>
        <v>99.823427019999997</v>
      </c>
      <c r="G180" s="10">
        <f>[1]!EM_S_FA_CURRENTDEBTTODEBT($C$9,G179)</f>
        <v>99.813813089700005</v>
      </c>
      <c r="H180" s="10">
        <f>[1]!EM_S_FA_CURRENTDEBTTODEBT($C$9,H179)</f>
        <v>99.843091316900001</v>
      </c>
      <c r="I180" s="10">
        <f>[1]!EM_S_FA_CURRENTDEBTTODEBT($C$9,I179)</f>
        <v>99.831749206599994</v>
      </c>
      <c r="J180" s="10">
        <f>[1]!EM_S_FA_CURRENTDEBTTODEBT($C$9,J179)</f>
        <v>99.922411059599995</v>
      </c>
      <c r="K180" s="10">
        <f>[1]!EM_S_FA_CURRENTDEBTTODEBT($C$9,K179)</f>
        <v>99.957959817700001</v>
      </c>
      <c r="L180" s="10">
        <f>[1]!EM_S_FA_CURRENTDEBTTODEBT($C$9,L179)</f>
        <v>99.959653271500002</v>
      </c>
      <c r="M180" s="10">
        <f>[1]!EM_S_FA_CURRENTDEBTTODEBT($C$9,M179)</f>
        <v>100</v>
      </c>
      <c r="N180" s="82" t="s">
        <v>129</v>
      </c>
      <c r="O180" s="46">
        <f>(M180*M178)+(L180*L178)+(K180*K178)+(J180*J178)+(I180*I178)+(H180*H178)+(G180*G178)+(F180*F178)+(E180*E178)+(D180*D178)</f>
        <v>98.469640304178469</v>
      </c>
    </row>
    <row r="181" spans="1:15" ht="13.5" customHeight="1">
      <c r="C181" s="12" t="str">
        <f>C141</f>
        <v>饮料</v>
      </c>
      <c r="D181" s="10">
        <f>[1]!EM_BK_FA_ALL_CURRENTDEBTTODEBT($G$9,D179,"0")</f>
        <v>91.187738427177806</v>
      </c>
      <c r="E181" s="10">
        <f>[1]!EM_BK_FA_ALL_CURRENTDEBTTODEBT($G$9,E179,"0")</f>
        <v>91.095565580956603</v>
      </c>
      <c r="F181" s="10">
        <f>[1]!EM_BK_FA_ALL_CURRENTDEBTTODEBT($G$9,F179,"0")</f>
        <v>91.803948254472573</v>
      </c>
      <c r="G181" s="10">
        <f>[1]!EM_BK_FA_ALL_CURRENTDEBTTODEBT($G$9,G179,"0")</f>
        <v>90.946117260043835</v>
      </c>
      <c r="H181" s="10">
        <f>[1]!EM_BK_FA_ALL_CURRENTDEBTTODEBT($G$9,H179,"0")</f>
        <v>92.553731550419997</v>
      </c>
      <c r="I181" s="10">
        <f>[1]!EM_BK_FA_ALL_CURRENTDEBTTODEBT($G$9,I179,"0")</f>
        <v>89.354214757743478</v>
      </c>
      <c r="J181" s="10">
        <f>[1]!EM_BK_FA_ALL_CURRENTDEBTTODEBT($G$9,J179,"0")</f>
        <v>89.519226679902602</v>
      </c>
      <c r="K181" s="10">
        <f>[1]!EM_BK_FA_ALL_CURRENTDEBTTODEBT($G$9,K179,"0")</f>
        <v>91.261740852861664</v>
      </c>
      <c r="L181" s="10">
        <f>[1]!EM_BK_FA_ALL_CURRENTDEBTTODEBT($G$9,L179,"0")</f>
        <v>92.287410020792194</v>
      </c>
      <c r="M181" s="10">
        <f>[1]!EM_BK_FA_ALL_CURRENTDEBTTODEBT($G$9,M179,"0")</f>
        <v>92.625819902015337</v>
      </c>
      <c r="N181" s="82"/>
      <c r="O181" s="46">
        <f>(M181*M178)+(L181*L178)+(K181*K178)+(J181*J178)+(I181*I178)+(H181*H178)+(G181*G178)+(F181*F178)+(E181*E178)+(D181*D178)</f>
        <v>90.646338124554035</v>
      </c>
    </row>
    <row r="182" spans="1:15">
      <c r="C182" s="12" t="s">
        <v>139</v>
      </c>
      <c r="D182" s="10">
        <f>[1]!EM_BK_FA_ALL_CURRENTDEBTTODEBT("001004",D179,"0")</f>
        <v>70.285021730602296</v>
      </c>
      <c r="E182" s="10">
        <f>[1]!EM_BK_FA_ALL_CURRENTDEBTTODEBT("001004",E179,"0")</f>
        <v>70.664877940559364</v>
      </c>
      <c r="F182" s="10">
        <f>[1]!EM_BK_FA_ALL_CURRENTDEBTTODEBT("001004",F179,"0")</f>
        <v>71.854720760142825</v>
      </c>
      <c r="G182" s="10">
        <f>[1]!EM_BK_FA_ALL_CURRENTDEBTTODEBT("001004",G179,"0")</f>
        <v>70.854040335023456</v>
      </c>
      <c r="H182" s="10">
        <f>[1]!EM_BK_FA_ALL_CURRENTDEBTTODEBT("001004",H179,"0")</f>
        <v>71.088770405339062</v>
      </c>
      <c r="I182" s="10">
        <f>[1]!EM_BK_FA_ALL_CURRENTDEBTTODEBT("001004",I179,"0")</f>
        <v>70.519991662896743</v>
      </c>
      <c r="J182" s="10">
        <f>[1]!EM_BK_FA_ALL_CURRENTDEBTTODEBT("001004",J179,"0")</f>
        <v>69.789057575674505</v>
      </c>
      <c r="K182" s="10">
        <f>[1]!EM_BK_FA_ALL_CURRENTDEBTTODEBT("001004",K179,"0")</f>
        <v>69.908908082023686</v>
      </c>
      <c r="L182" s="10">
        <f>[1]!EM_BK_FA_ALL_CURRENTDEBTTODEBT("001004",L179,"0")</f>
        <v>71.514078612837963</v>
      </c>
      <c r="M182" s="10">
        <f>[1]!EM_BK_FA_ALL_CURRENTDEBTTODEBT("001004",M179,"0")</f>
        <v>72.113517516536035</v>
      </c>
      <c r="N182" s="82"/>
    </row>
    <row r="204" spans="3:14" ht="14.7" thickBot="1">
      <c r="C204" s="62"/>
      <c r="D204" s="63"/>
      <c r="E204" s="63"/>
      <c r="F204" s="63"/>
      <c r="G204" s="63"/>
      <c r="H204" s="63"/>
      <c r="I204" s="63"/>
      <c r="J204" s="63"/>
      <c r="K204" s="63"/>
      <c r="L204" s="63"/>
      <c r="M204" s="63"/>
      <c r="N204" s="63"/>
    </row>
    <row r="205" spans="3:14" ht="13.5" customHeight="1">
      <c r="C205" s="64" t="s">
        <v>128</v>
      </c>
      <c r="D205" s="65"/>
      <c r="E205" s="65"/>
      <c r="F205" s="65"/>
      <c r="G205" s="65"/>
      <c r="H205" s="65"/>
      <c r="I205" s="65"/>
      <c r="J205" s="65"/>
      <c r="K205" s="65"/>
      <c r="L205" s="65"/>
      <c r="M205" s="65"/>
      <c r="N205" s="66"/>
    </row>
    <row r="206" spans="3:14" ht="14.7" thickBot="1">
      <c r="C206" s="70"/>
      <c r="D206" s="71"/>
      <c r="E206" s="71"/>
      <c r="F206" s="71"/>
      <c r="G206" s="71"/>
      <c r="H206" s="71"/>
      <c r="I206" s="71"/>
      <c r="J206" s="71"/>
      <c r="K206" s="71"/>
      <c r="L206" s="71"/>
      <c r="M206" s="71"/>
      <c r="N206" s="72"/>
    </row>
    <row r="207" spans="3:14">
      <c r="C207" s="62"/>
      <c r="D207" s="63"/>
      <c r="E207" s="63"/>
      <c r="F207" s="63"/>
      <c r="G207" s="63"/>
      <c r="H207" s="63"/>
      <c r="I207" s="63"/>
      <c r="J207" s="63"/>
      <c r="K207" s="63"/>
      <c r="L207" s="63"/>
      <c r="M207" s="63"/>
      <c r="N207" s="63"/>
    </row>
    <row r="208" spans="3:14">
      <c r="C208" s="15"/>
      <c r="D208" s="15"/>
      <c r="E208" s="15"/>
      <c r="F208" s="15"/>
      <c r="G208" s="15"/>
      <c r="H208" s="15"/>
      <c r="I208" s="15"/>
      <c r="J208" s="15"/>
      <c r="K208" s="15"/>
      <c r="L208" s="15"/>
      <c r="M208" s="15"/>
      <c r="N208" s="15"/>
    </row>
    <row r="212" spans="1:15">
      <c r="C212" s="15"/>
      <c r="D212" s="15"/>
      <c r="E212" s="15"/>
      <c r="F212" s="15"/>
      <c r="G212" s="15"/>
      <c r="H212" s="15"/>
      <c r="I212" s="15"/>
      <c r="J212" s="15"/>
      <c r="K212" s="15"/>
      <c r="L212" s="15"/>
      <c r="M212" s="15"/>
      <c r="N212" s="15"/>
    </row>
    <row r="214" spans="1:15" ht="13.5" customHeight="1">
      <c r="A214" s="74" t="s">
        <v>131</v>
      </c>
      <c r="B214" s="79" t="s">
        <v>208</v>
      </c>
      <c r="C214" s="79"/>
    </row>
    <row r="215" spans="1:15" ht="13.5" customHeight="1">
      <c r="A215" s="74"/>
      <c r="B215" s="79"/>
      <c r="C215" s="79"/>
    </row>
    <row r="216" spans="1:15" ht="13.5" customHeight="1">
      <c r="A216" s="74"/>
      <c r="B216" s="79"/>
      <c r="C216" s="79"/>
      <c r="D216" s="48" t="str">
        <f>D$19</f>
        <v>0.5%</v>
      </c>
      <c r="E216" s="48" t="str">
        <f t="shared" ref="E216:M216" si="11">E$19</f>
        <v>0.5%</v>
      </c>
      <c r="F216" s="48" t="str">
        <f t="shared" si="11"/>
        <v>0.5%</v>
      </c>
      <c r="G216" s="48" t="str">
        <f t="shared" si="11"/>
        <v>0.5%</v>
      </c>
      <c r="H216" s="48" t="str">
        <f t="shared" si="11"/>
        <v>0.5%</v>
      </c>
      <c r="I216" s="48" t="str">
        <f t="shared" si="11"/>
        <v>1%</v>
      </c>
      <c r="J216" s="48" t="str">
        <f t="shared" si="11"/>
        <v>5%</v>
      </c>
      <c r="K216" s="48" t="str">
        <f t="shared" si="11"/>
        <v>20%</v>
      </c>
      <c r="L216" s="48" t="str">
        <f t="shared" si="11"/>
        <v>30%</v>
      </c>
      <c r="M216" s="48" t="str">
        <f t="shared" si="11"/>
        <v>40%</v>
      </c>
    </row>
    <row r="217" spans="1:15" ht="13.5" customHeight="1">
      <c r="B217" s="79"/>
      <c r="C217" s="79"/>
      <c r="D217" s="11" t="str">
        <f>D$20</f>
        <v>2009-12-31</v>
      </c>
      <c r="E217" s="11" t="str">
        <f t="shared" ref="E217:M217" si="12">E$20</f>
        <v>2010-12-31</v>
      </c>
      <c r="F217" s="11" t="str">
        <f t="shared" si="12"/>
        <v>2011-12-31</v>
      </c>
      <c r="G217" s="11" t="str">
        <f t="shared" si="12"/>
        <v>2012-12-31</v>
      </c>
      <c r="H217" s="11" t="str">
        <f t="shared" si="12"/>
        <v>2013-12-31</v>
      </c>
      <c r="I217" s="11" t="str">
        <f t="shared" si="12"/>
        <v>2014-12-31</v>
      </c>
      <c r="J217" s="11" t="str">
        <f t="shared" si="12"/>
        <v>2015-12-31</v>
      </c>
      <c r="K217" s="11" t="str">
        <f t="shared" si="12"/>
        <v>2016-12-31</v>
      </c>
      <c r="L217" s="11" t="str">
        <f t="shared" si="12"/>
        <v>2017-12-31</v>
      </c>
      <c r="M217" s="11" t="str">
        <f t="shared" si="12"/>
        <v>2018-12-31</v>
      </c>
      <c r="N217" s="14" t="s">
        <v>119</v>
      </c>
    </row>
    <row r="218" spans="1:15" ht="13.5" customHeight="1">
      <c r="C218" s="12" t="str">
        <f>C180</f>
        <v>贵州茅台</v>
      </c>
      <c r="D218" s="10">
        <f>[1]!EM_S_FA_LONGDEBTODEBT($C$9,D217)</f>
        <v>0.19538661889999531</v>
      </c>
      <c r="E218" s="10">
        <f>[1]!EM_S_FA_LONGDEBTODEBT($C$9,E217)</f>
        <v>0.1420819792000039</v>
      </c>
      <c r="F218" s="10">
        <f>[1]!EM_S_FA_LONGDEBTODEBT($C$9,F217)</f>
        <v>0.17657298000000041</v>
      </c>
      <c r="G218" s="10">
        <f>[1]!EM_S_FA_LONGDEBTODEBT($C$9,G217)</f>
        <v>0.18618691030000131</v>
      </c>
      <c r="H218" s="10">
        <f>[1]!EM_S_FA_LONGDEBTODEBT($C$9,H217)</f>
        <v>0.15690868309999881</v>
      </c>
      <c r="I218" s="10">
        <f>[1]!EM_S_FA_LONGDEBTODEBT($C$9,I217)</f>
        <v>0.1682507934000044</v>
      </c>
      <c r="J218" s="10">
        <f>[1]!EM_S_FA_LONGDEBTODEBT($C$9,J217)</f>
        <v>7.7588940399997405E-2</v>
      </c>
      <c r="K218" s="10">
        <f>[1]!EM_S_FA_LONGDEBTODEBT($C$9,K217)</f>
        <v>4.20401822999961E-2</v>
      </c>
      <c r="L218" s="10">
        <f>[1]!EM_S_FA_LONGDEBTODEBT($C$9,L217)</f>
        <v>4.0346728499995897E-2</v>
      </c>
      <c r="M218" s="10">
        <f>[1]!EM_S_FA_LONGDEBTODEBT($C$9,M217)</f>
        <v>0</v>
      </c>
      <c r="N218" s="82" t="s">
        <v>129</v>
      </c>
      <c r="O218" s="46">
        <f>(M218*M216)+(L218*L216)+(K218*K216)+(J218*J216)+(I218*I216)+(H218*H216)+(G218*G216)+(F218*F216)+(E218*E216)+(D218*D216)</f>
        <v>3.0359695821497903E-2</v>
      </c>
    </row>
    <row r="219" spans="1:15" ht="13.5" customHeight="1">
      <c r="C219" s="12" t="str">
        <f>C181</f>
        <v>饮料</v>
      </c>
      <c r="D219" s="10">
        <f>[1]!EM_BK_FA_ALL_LONGDEBTODEBT($G$9,D217,"0")</f>
        <v>9.0498760590217113</v>
      </c>
      <c r="E219" s="10">
        <f>[1]!EM_BK_FA_ALL_LONGDEBTODEBT($G$9,E217,"0")</f>
        <v>9.2690274224582918</v>
      </c>
      <c r="F219" s="10">
        <f>[1]!EM_BK_FA_ALL_LONGDEBTODEBT($G$9,F217,"0")</f>
        <v>8.6036325787637224</v>
      </c>
      <c r="G219" s="10">
        <f>[1]!EM_BK_FA_ALL_LONGDEBTODEBT($G$9,G217,"0")</f>
        <v>9.5583234155242192</v>
      </c>
      <c r="H219" s="10">
        <f>[1]!EM_BK_FA_ALL_LONGDEBTODEBT($G$9,H217,"0")</f>
        <v>7.8852419885657623</v>
      </c>
      <c r="I219" s="10">
        <f>[1]!EM_BK_FA_ALL_LONGDEBTODEBT($G$9,I217,"0")</f>
        <v>11.011781839758211</v>
      </c>
      <c r="J219" s="10">
        <f>[1]!EM_BK_FA_ALL_LONGDEBTODEBT($G$9,J217,"0")</f>
        <v>10.542898822388343</v>
      </c>
      <c r="K219" s="10">
        <f>[1]!EM_BK_FA_ALL_LONGDEBTODEBT($G$9,K217,"0")</f>
        <v>8.7382591471383133</v>
      </c>
      <c r="L219" s="10">
        <f>[1]!EM_BK_FA_ALL_LONGDEBTODEBT($G$9,L217,"0")</f>
        <v>7.7125899792078512</v>
      </c>
      <c r="M219" s="10">
        <f>[1]!EM_BK_FA_ALL_LONGDEBTODEBT($G$9,M217,"0")</f>
        <v>9.7182482987085255</v>
      </c>
      <c r="N219" s="82"/>
      <c r="O219" s="46">
        <f>(M219*M216)+(L219*L216)+(K219*K216)+(J219*J216)+(I219*I216)+(H219*H216)+(G219*G216)+(F219*F216)+(E219*E216)+(D219*D216)</f>
        <v>8.8078214095120977</v>
      </c>
    </row>
    <row r="220" spans="1:15">
      <c r="C220" s="12" t="s">
        <v>139</v>
      </c>
      <c r="D220" s="10">
        <f>[1]!EM_BK_FA_ALL_LONGDEBTODEBT("001004",D217,"0")</f>
        <v>30.097612472001309</v>
      </c>
      <c r="E220" s="10">
        <f>[1]!EM_BK_FA_ALL_LONGDEBTODEBT("001004",E217,"0")</f>
        <v>29.640429768349197</v>
      </c>
      <c r="F220" s="10">
        <f>[1]!EM_BK_FA_ALL_LONGDEBTODEBT("001004",F217,"0")</f>
        <v>28.433486436479122</v>
      </c>
      <c r="G220" s="10">
        <f>[1]!EM_BK_FA_ALL_LONGDEBTODEBT("001004",G217,"0")</f>
        <v>29.394808877640632</v>
      </c>
      <c r="H220" s="10">
        <f>[1]!EM_BK_FA_ALL_LONGDEBTODEBT("001004",H217,"0")</f>
        <v>29.088675082522965</v>
      </c>
      <c r="I220" s="10">
        <f>[1]!EM_BK_FA_ALL_LONGDEBTODEBT("001004",I217,"0")</f>
        <v>29.597340471078365</v>
      </c>
      <c r="J220" s="10">
        <f>[1]!EM_BK_FA_ALL_LONGDEBTODEBT("001004",J217,"0")</f>
        <v>30.325388673073348</v>
      </c>
      <c r="K220" s="10">
        <f>[1]!EM_BK_FA_ALL_LONGDEBTODEBT("001004",K217,"0")</f>
        <v>30.161148412513761</v>
      </c>
      <c r="L220" s="10">
        <f>[1]!EM_BK_FA_ALL_LONGDEBTODEBT("001004",L217,"0")</f>
        <v>28.55096823272752</v>
      </c>
      <c r="M220" s="10">
        <f>[1]!EM_BK_FA_ALL_LONGDEBTODEBT("001004",M217,"0")</f>
        <v>27.95048661498614</v>
      </c>
      <c r="N220" s="82"/>
    </row>
    <row r="242" spans="3:14" ht="14.7" thickBot="1">
      <c r="C242" s="62"/>
      <c r="D242" s="63"/>
      <c r="E242" s="63"/>
      <c r="F242" s="63"/>
      <c r="G242" s="63"/>
      <c r="H242" s="63"/>
      <c r="I242" s="63"/>
      <c r="J242" s="63"/>
      <c r="K242" s="63"/>
      <c r="L242" s="63"/>
      <c r="M242" s="63"/>
      <c r="N242" s="63"/>
    </row>
    <row r="243" spans="3:14" ht="13.5" customHeight="1">
      <c r="C243" s="64" t="s">
        <v>132</v>
      </c>
      <c r="D243" s="65"/>
      <c r="E243" s="65"/>
      <c r="F243" s="65"/>
      <c r="G243" s="65"/>
      <c r="H243" s="65"/>
      <c r="I243" s="65"/>
      <c r="J243" s="65"/>
      <c r="K243" s="65"/>
      <c r="L243" s="65"/>
      <c r="M243" s="65"/>
      <c r="N243" s="66"/>
    </row>
    <row r="244" spans="3:14" ht="14.7" thickBot="1">
      <c r="C244" s="70"/>
      <c r="D244" s="71"/>
      <c r="E244" s="71"/>
      <c r="F244" s="71"/>
      <c r="G244" s="71"/>
      <c r="H244" s="71"/>
      <c r="I244" s="71"/>
      <c r="J244" s="71"/>
      <c r="K244" s="71"/>
      <c r="L244" s="71"/>
      <c r="M244" s="71"/>
      <c r="N244" s="72"/>
    </row>
    <row r="245" spans="3:14">
      <c r="C245" s="62"/>
      <c r="D245" s="63"/>
      <c r="E245" s="63"/>
      <c r="F245" s="63"/>
      <c r="G245" s="63"/>
      <c r="H245" s="63"/>
      <c r="I245" s="63"/>
      <c r="J245" s="63"/>
      <c r="K245" s="63"/>
      <c r="L245" s="63"/>
      <c r="M245" s="63"/>
      <c r="N245" s="63"/>
    </row>
    <row r="246" spans="3:14">
      <c r="C246" s="15"/>
      <c r="D246" s="15"/>
      <c r="E246" s="15"/>
      <c r="F246" s="15"/>
      <c r="G246" s="15"/>
      <c r="H246" s="15"/>
      <c r="I246" s="15"/>
      <c r="J246" s="15"/>
      <c r="K246" s="15"/>
      <c r="L246" s="15"/>
      <c r="M246" s="15"/>
      <c r="N246" s="15"/>
    </row>
    <row r="267" spans="6:6">
      <c r="F267" s="35"/>
    </row>
  </sheetData>
  <protectedRanges>
    <protectedRange sqref="A7:IV16" name="区域1"/>
  </protectedRanges>
  <mergeCells count="36">
    <mergeCell ref="C243:N244"/>
    <mergeCell ref="N218:N220"/>
    <mergeCell ref="C245:N245"/>
    <mergeCell ref="C169:N169"/>
    <mergeCell ref="C165:N168"/>
    <mergeCell ref="C204:N204"/>
    <mergeCell ref="C207:N207"/>
    <mergeCell ref="C205:N206"/>
    <mergeCell ref="N180:N182"/>
    <mergeCell ref="A214:A216"/>
    <mergeCell ref="B214:C217"/>
    <mergeCell ref="C242:N242"/>
    <mergeCell ref="A97:A99"/>
    <mergeCell ref="B97:C99"/>
    <mergeCell ref="C125:N125"/>
    <mergeCell ref="C129:N129"/>
    <mergeCell ref="C126:N128"/>
    <mergeCell ref="N101:N103"/>
    <mergeCell ref="A176:A178"/>
    <mergeCell ref="A136:A138"/>
    <mergeCell ref="B136:C138"/>
    <mergeCell ref="C164:N164"/>
    <mergeCell ref="N140:N142"/>
    <mergeCell ref="B176:C179"/>
    <mergeCell ref="B17:C19"/>
    <mergeCell ref="A17:A19"/>
    <mergeCell ref="C46:N47"/>
    <mergeCell ref="C45:N45"/>
    <mergeCell ref="C48:N48"/>
    <mergeCell ref="N21:N23"/>
    <mergeCell ref="C83:N83"/>
    <mergeCell ref="C90:N90"/>
    <mergeCell ref="C84:N89"/>
    <mergeCell ref="N59:N61"/>
    <mergeCell ref="A55:A57"/>
    <mergeCell ref="B55:C57"/>
  </mergeCells>
  <phoneticPr fontId="1" type="noConversion"/>
  <conditionalFormatting sqref="D21:M22">
    <cfRule type="dataBar" priority="49">
      <dataBar>
        <cfvo type="min"/>
        <cfvo type="max"/>
        <color rgb="FFFF555A"/>
      </dataBar>
      <extLst>
        <ext xmlns:x14="http://schemas.microsoft.com/office/spreadsheetml/2009/9/main" uri="{B025F937-C7B1-47D3-B67F-A62EFF666E3E}">
          <x14:id>{8B5DCC68-3C19-4879-BDF8-C370EBE4D69D}</x14:id>
        </ext>
      </extLst>
    </cfRule>
  </conditionalFormatting>
  <conditionalFormatting sqref="N21">
    <cfRule type="containsText" dxfId="43" priority="45" operator="containsText" text="差">
      <formula>NOT(ISERROR(SEARCH("差",N21)))</formula>
    </cfRule>
    <cfRule type="containsText" dxfId="42" priority="46" operator="containsText" text="优">
      <formula>NOT(ISERROR(SEARCH("优",N21)))</formula>
    </cfRule>
  </conditionalFormatting>
  <conditionalFormatting sqref="N59">
    <cfRule type="containsText" dxfId="41" priority="43" operator="containsText" text="差">
      <formula>NOT(ISERROR(SEARCH("差",N59)))</formula>
    </cfRule>
    <cfRule type="containsText" dxfId="40" priority="44" operator="containsText" text="优">
      <formula>NOT(ISERROR(SEARCH("优",N59)))</formula>
    </cfRule>
  </conditionalFormatting>
  <conditionalFormatting sqref="N101">
    <cfRule type="containsText" dxfId="39" priority="40" operator="containsText" text="差">
      <formula>NOT(ISERROR(SEARCH("差",N101)))</formula>
    </cfRule>
    <cfRule type="containsText" dxfId="38" priority="41" operator="containsText" text="优">
      <formula>NOT(ISERROR(SEARCH("优",N101)))</formula>
    </cfRule>
  </conditionalFormatting>
  <conditionalFormatting sqref="N140">
    <cfRule type="containsText" dxfId="37" priority="37" operator="containsText" text="差">
      <formula>NOT(ISERROR(SEARCH("差",N140)))</formula>
    </cfRule>
    <cfRule type="containsText" dxfId="36" priority="38" operator="containsText" text="优">
      <formula>NOT(ISERROR(SEARCH("优",N140)))</formula>
    </cfRule>
  </conditionalFormatting>
  <conditionalFormatting sqref="N180">
    <cfRule type="containsText" dxfId="35" priority="34" operator="containsText" text="差">
      <formula>NOT(ISERROR(SEARCH("差",N180)))</formula>
    </cfRule>
    <cfRule type="containsText" dxfId="34" priority="35" operator="containsText" text="优">
      <formula>NOT(ISERROR(SEARCH("优",N180)))</formula>
    </cfRule>
  </conditionalFormatting>
  <conditionalFormatting sqref="N218">
    <cfRule type="containsText" dxfId="33" priority="31" operator="containsText" text="差">
      <formula>NOT(ISERROR(SEARCH("差",N218)))</formula>
    </cfRule>
    <cfRule type="containsText" dxfId="32" priority="32" operator="containsText" text="优">
      <formula>NOT(ISERROR(SEARCH("优",N218)))</formula>
    </cfRule>
  </conditionalFormatting>
  <conditionalFormatting sqref="D23:M23">
    <cfRule type="dataBar" priority="28">
      <dataBar>
        <cfvo type="min"/>
        <cfvo type="max"/>
        <color rgb="FFFF555A"/>
      </dataBar>
      <extLst>
        <ext xmlns:x14="http://schemas.microsoft.com/office/spreadsheetml/2009/9/main" uri="{B025F937-C7B1-47D3-B67F-A62EFF666E3E}">
          <x14:id>{A416455B-CD79-4B08-BF10-E763BF71A8F4}</x14:id>
        </ext>
      </extLst>
    </cfRule>
  </conditionalFormatting>
  <conditionalFormatting sqref="D21:M23">
    <cfRule type="dataBar" priority="16">
      <dataBar>
        <cfvo type="min"/>
        <cfvo type="max"/>
        <color rgb="FFFF555A"/>
      </dataBar>
      <extLst>
        <ext xmlns:x14="http://schemas.microsoft.com/office/spreadsheetml/2009/9/main" uri="{B025F937-C7B1-47D3-B67F-A62EFF666E3E}">
          <x14:id>{44E32E74-C322-4C24-9556-4530D5B1C93C}</x14:id>
        </ext>
      </extLst>
    </cfRule>
  </conditionalFormatting>
  <conditionalFormatting sqref="D59:M60">
    <cfRule type="dataBar" priority="15">
      <dataBar>
        <cfvo type="min"/>
        <cfvo type="max"/>
        <color rgb="FFFF555A"/>
      </dataBar>
      <extLst>
        <ext xmlns:x14="http://schemas.microsoft.com/office/spreadsheetml/2009/9/main" uri="{B025F937-C7B1-47D3-B67F-A62EFF666E3E}">
          <x14:id>{BAE7BCB3-2336-43E3-80E9-508815922A98}</x14:id>
        </ext>
      </extLst>
    </cfRule>
  </conditionalFormatting>
  <conditionalFormatting sqref="D61:M61">
    <cfRule type="dataBar" priority="14">
      <dataBar>
        <cfvo type="min"/>
        <cfvo type="max"/>
        <color rgb="FFFF555A"/>
      </dataBar>
      <extLst>
        <ext xmlns:x14="http://schemas.microsoft.com/office/spreadsheetml/2009/9/main" uri="{B025F937-C7B1-47D3-B67F-A62EFF666E3E}">
          <x14:id>{6F66F6E9-B4CB-4434-8DBE-471024DBAC37}</x14:id>
        </ext>
      </extLst>
    </cfRule>
  </conditionalFormatting>
  <conditionalFormatting sqref="D59:M61">
    <cfRule type="dataBar" priority="13">
      <dataBar>
        <cfvo type="min"/>
        <cfvo type="max"/>
        <color rgb="FFFF555A"/>
      </dataBar>
      <extLst>
        <ext xmlns:x14="http://schemas.microsoft.com/office/spreadsheetml/2009/9/main" uri="{B025F937-C7B1-47D3-B67F-A62EFF666E3E}">
          <x14:id>{2A1C172B-518E-4A47-AEAC-BCDBEA34FFBF}</x14:id>
        </ext>
      </extLst>
    </cfRule>
  </conditionalFormatting>
  <conditionalFormatting sqref="D101:M102">
    <cfRule type="dataBar" priority="12">
      <dataBar>
        <cfvo type="min"/>
        <cfvo type="max"/>
        <color rgb="FFFF555A"/>
      </dataBar>
      <extLst>
        <ext xmlns:x14="http://schemas.microsoft.com/office/spreadsheetml/2009/9/main" uri="{B025F937-C7B1-47D3-B67F-A62EFF666E3E}">
          <x14:id>{534EE0D6-02C9-4613-BB31-C51CCF5B6516}</x14:id>
        </ext>
      </extLst>
    </cfRule>
  </conditionalFormatting>
  <conditionalFormatting sqref="D103:M103">
    <cfRule type="dataBar" priority="11">
      <dataBar>
        <cfvo type="min"/>
        <cfvo type="max"/>
        <color rgb="FFFF555A"/>
      </dataBar>
      <extLst>
        <ext xmlns:x14="http://schemas.microsoft.com/office/spreadsheetml/2009/9/main" uri="{B025F937-C7B1-47D3-B67F-A62EFF666E3E}">
          <x14:id>{46354114-FD46-41F9-A0D6-B05F8FF77FB0}</x14:id>
        </ext>
      </extLst>
    </cfRule>
  </conditionalFormatting>
  <conditionalFormatting sqref="D101:M103">
    <cfRule type="dataBar" priority="10">
      <dataBar>
        <cfvo type="min"/>
        <cfvo type="max"/>
        <color rgb="FFFF555A"/>
      </dataBar>
      <extLst>
        <ext xmlns:x14="http://schemas.microsoft.com/office/spreadsheetml/2009/9/main" uri="{B025F937-C7B1-47D3-B67F-A62EFF666E3E}">
          <x14:id>{FA3FD6C3-37A8-44DC-8916-B61A19758EEE}</x14:id>
        </ext>
      </extLst>
    </cfRule>
  </conditionalFormatting>
  <conditionalFormatting sqref="D140:M141">
    <cfRule type="dataBar" priority="9">
      <dataBar>
        <cfvo type="min"/>
        <cfvo type="max"/>
        <color rgb="FFFF555A"/>
      </dataBar>
      <extLst>
        <ext xmlns:x14="http://schemas.microsoft.com/office/spreadsheetml/2009/9/main" uri="{B025F937-C7B1-47D3-B67F-A62EFF666E3E}">
          <x14:id>{B9F9C547-F7FB-4F4F-AEB1-8861FBA94066}</x14:id>
        </ext>
      </extLst>
    </cfRule>
  </conditionalFormatting>
  <conditionalFormatting sqref="D142:M142">
    <cfRule type="dataBar" priority="8">
      <dataBar>
        <cfvo type="min"/>
        <cfvo type="max"/>
        <color rgb="FFFF555A"/>
      </dataBar>
      <extLst>
        <ext xmlns:x14="http://schemas.microsoft.com/office/spreadsheetml/2009/9/main" uri="{B025F937-C7B1-47D3-B67F-A62EFF666E3E}">
          <x14:id>{21706DA6-5691-4F80-9621-E75852A7D367}</x14:id>
        </ext>
      </extLst>
    </cfRule>
  </conditionalFormatting>
  <conditionalFormatting sqref="D140:M142">
    <cfRule type="dataBar" priority="7">
      <dataBar>
        <cfvo type="min"/>
        <cfvo type="max"/>
        <color rgb="FFFF555A"/>
      </dataBar>
      <extLst>
        <ext xmlns:x14="http://schemas.microsoft.com/office/spreadsheetml/2009/9/main" uri="{B025F937-C7B1-47D3-B67F-A62EFF666E3E}">
          <x14:id>{435F747E-6916-4CBD-BAC9-DFCED5BFDD88}</x14:id>
        </ext>
      </extLst>
    </cfRule>
  </conditionalFormatting>
  <conditionalFormatting sqref="D180:M181">
    <cfRule type="dataBar" priority="6">
      <dataBar>
        <cfvo type="min"/>
        <cfvo type="max"/>
        <color rgb="FFFF555A"/>
      </dataBar>
      <extLst>
        <ext xmlns:x14="http://schemas.microsoft.com/office/spreadsheetml/2009/9/main" uri="{B025F937-C7B1-47D3-B67F-A62EFF666E3E}">
          <x14:id>{88AD5D8D-09F6-4C55-8D40-AF17EE2B4DC2}</x14:id>
        </ext>
      </extLst>
    </cfRule>
  </conditionalFormatting>
  <conditionalFormatting sqref="D182:M182">
    <cfRule type="dataBar" priority="5">
      <dataBar>
        <cfvo type="min"/>
        <cfvo type="max"/>
        <color rgb="FFFF555A"/>
      </dataBar>
      <extLst>
        <ext xmlns:x14="http://schemas.microsoft.com/office/spreadsheetml/2009/9/main" uri="{B025F937-C7B1-47D3-B67F-A62EFF666E3E}">
          <x14:id>{7712C621-3439-4E6F-B52D-B9756D1CADC3}</x14:id>
        </ext>
      </extLst>
    </cfRule>
  </conditionalFormatting>
  <conditionalFormatting sqref="D180:M182">
    <cfRule type="dataBar" priority="4">
      <dataBar>
        <cfvo type="min"/>
        <cfvo type="max"/>
        <color rgb="FFFF555A"/>
      </dataBar>
      <extLst>
        <ext xmlns:x14="http://schemas.microsoft.com/office/spreadsheetml/2009/9/main" uri="{B025F937-C7B1-47D3-B67F-A62EFF666E3E}">
          <x14:id>{3E8F302A-E132-44DF-9190-2FDB97F55120}</x14:id>
        </ext>
      </extLst>
    </cfRule>
  </conditionalFormatting>
  <conditionalFormatting sqref="D218:M219">
    <cfRule type="dataBar" priority="3">
      <dataBar>
        <cfvo type="min"/>
        <cfvo type="max"/>
        <color rgb="FFFF555A"/>
      </dataBar>
      <extLst>
        <ext xmlns:x14="http://schemas.microsoft.com/office/spreadsheetml/2009/9/main" uri="{B025F937-C7B1-47D3-B67F-A62EFF666E3E}">
          <x14:id>{8DA182D8-06B9-4A96-9366-6E24F36BC222}</x14:id>
        </ext>
      </extLst>
    </cfRule>
  </conditionalFormatting>
  <conditionalFormatting sqref="D220:M220">
    <cfRule type="dataBar" priority="2">
      <dataBar>
        <cfvo type="min"/>
        <cfvo type="max"/>
        <color rgb="FFFF555A"/>
      </dataBar>
      <extLst>
        <ext xmlns:x14="http://schemas.microsoft.com/office/spreadsheetml/2009/9/main" uri="{B025F937-C7B1-47D3-B67F-A62EFF666E3E}">
          <x14:id>{23287401-0371-4CB5-8CC7-440F5AAA8298}</x14:id>
        </ext>
      </extLst>
    </cfRule>
  </conditionalFormatting>
  <conditionalFormatting sqref="D218:M220">
    <cfRule type="dataBar" priority="1">
      <dataBar>
        <cfvo type="min"/>
        <cfvo type="max"/>
        <color rgb="FFFF555A"/>
      </dataBar>
      <extLst>
        <ext xmlns:x14="http://schemas.microsoft.com/office/spreadsheetml/2009/9/main" uri="{B025F937-C7B1-47D3-B67F-A62EFF666E3E}">
          <x14:id>{8EFF0F7A-59BC-4B37-9DC4-8A4259996AD7}</x14:id>
        </ext>
      </extLst>
    </cfRule>
  </conditionalFormatting>
  <hyperlinks>
    <hyperlink ref="B1" location="数据速览!A2" display="数据速览" xr:uid="{00000000-0004-0000-0200-000000000000}"/>
    <hyperlink ref="C1" location="偿债能力!A2" display="偿债能力" xr:uid="{00000000-0004-0000-0200-000001000000}"/>
    <hyperlink ref="D1" location="营运能力!A2" display="营运能力" xr:uid="{00000000-0004-0000-0200-000002000000}"/>
    <hyperlink ref="E1" location="盈利能力!A2" display="盈利能力" xr:uid="{00000000-0004-0000-0200-000003000000}"/>
    <hyperlink ref="A1" location="首页!A2" display="首页" xr:uid="{00000000-0004-0000-0200-000004000000}"/>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8B5DCC68-3C19-4879-BDF8-C370EBE4D69D}">
            <x14:dataBar minLength="0" maxLength="100" negativeBarColorSameAsPositive="1" axisPosition="none">
              <x14:cfvo type="min"/>
              <x14:cfvo type="max"/>
            </x14:dataBar>
          </x14:cfRule>
          <xm:sqref>D21:M22</xm:sqref>
        </x14:conditionalFormatting>
        <x14:conditionalFormatting xmlns:xm="http://schemas.microsoft.com/office/excel/2006/main">
          <x14:cfRule type="dataBar" id="{A416455B-CD79-4B08-BF10-E763BF71A8F4}">
            <x14:dataBar minLength="0" maxLength="100" negativeBarColorSameAsPositive="1" axisPosition="none">
              <x14:cfvo type="min"/>
              <x14:cfvo type="max"/>
            </x14:dataBar>
          </x14:cfRule>
          <xm:sqref>D23:M23</xm:sqref>
        </x14:conditionalFormatting>
        <x14:conditionalFormatting xmlns:xm="http://schemas.microsoft.com/office/excel/2006/main">
          <x14:cfRule type="dataBar" id="{44E32E74-C322-4C24-9556-4530D5B1C93C}">
            <x14:dataBar minLength="0" maxLength="100" negativeBarColorSameAsPositive="1" axisPosition="none">
              <x14:cfvo type="min"/>
              <x14:cfvo type="max"/>
            </x14:dataBar>
          </x14:cfRule>
          <xm:sqref>D21:M23</xm:sqref>
        </x14:conditionalFormatting>
        <x14:conditionalFormatting xmlns:xm="http://schemas.microsoft.com/office/excel/2006/main">
          <x14:cfRule type="dataBar" id="{BAE7BCB3-2336-43E3-80E9-508815922A98}">
            <x14:dataBar minLength="0" maxLength="100" negativeBarColorSameAsPositive="1" axisPosition="none">
              <x14:cfvo type="min"/>
              <x14:cfvo type="max"/>
            </x14:dataBar>
          </x14:cfRule>
          <xm:sqref>D59:M60</xm:sqref>
        </x14:conditionalFormatting>
        <x14:conditionalFormatting xmlns:xm="http://schemas.microsoft.com/office/excel/2006/main">
          <x14:cfRule type="dataBar" id="{6F66F6E9-B4CB-4434-8DBE-471024DBAC37}">
            <x14:dataBar minLength="0" maxLength="100" negativeBarColorSameAsPositive="1" axisPosition="none">
              <x14:cfvo type="min"/>
              <x14:cfvo type="max"/>
            </x14:dataBar>
          </x14:cfRule>
          <xm:sqref>D61:M61</xm:sqref>
        </x14:conditionalFormatting>
        <x14:conditionalFormatting xmlns:xm="http://schemas.microsoft.com/office/excel/2006/main">
          <x14:cfRule type="dataBar" id="{2A1C172B-518E-4A47-AEAC-BCDBEA34FFBF}">
            <x14:dataBar minLength="0" maxLength="100" negativeBarColorSameAsPositive="1" axisPosition="none">
              <x14:cfvo type="min"/>
              <x14:cfvo type="max"/>
            </x14:dataBar>
          </x14:cfRule>
          <xm:sqref>D59:M61</xm:sqref>
        </x14:conditionalFormatting>
        <x14:conditionalFormatting xmlns:xm="http://schemas.microsoft.com/office/excel/2006/main">
          <x14:cfRule type="dataBar" id="{534EE0D6-02C9-4613-BB31-C51CCF5B6516}">
            <x14:dataBar minLength="0" maxLength="100" negativeBarColorSameAsPositive="1" axisPosition="none">
              <x14:cfvo type="min"/>
              <x14:cfvo type="max"/>
            </x14:dataBar>
          </x14:cfRule>
          <xm:sqref>D101:M102</xm:sqref>
        </x14:conditionalFormatting>
        <x14:conditionalFormatting xmlns:xm="http://schemas.microsoft.com/office/excel/2006/main">
          <x14:cfRule type="dataBar" id="{46354114-FD46-41F9-A0D6-B05F8FF77FB0}">
            <x14:dataBar minLength="0" maxLength="100" negativeBarColorSameAsPositive="1" axisPosition="none">
              <x14:cfvo type="min"/>
              <x14:cfvo type="max"/>
            </x14:dataBar>
          </x14:cfRule>
          <xm:sqref>D103:M103</xm:sqref>
        </x14:conditionalFormatting>
        <x14:conditionalFormatting xmlns:xm="http://schemas.microsoft.com/office/excel/2006/main">
          <x14:cfRule type="dataBar" id="{FA3FD6C3-37A8-44DC-8916-B61A19758EEE}">
            <x14:dataBar minLength="0" maxLength="100" negativeBarColorSameAsPositive="1" axisPosition="none">
              <x14:cfvo type="min"/>
              <x14:cfvo type="max"/>
            </x14:dataBar>
          </x14:cfRule>
          <xm:sqref>D101:M103</xm:sqref>
        </x14:conditionalFormatting>
        <x14:conditionalFormatting xmlns:xm="http://schemas.microsoft.com/office/excel/2006/main">
          <x14:cfRule type="dataBar" id="{B9F9C547-F7FB-4F4F-AEB1-8861FBA94066}">
            <x14:dataBar minLength="0" maxLength="100" negativeBarColorSameAsPositive="1" axisPosition="none">
              <x14:cfvo type="min"/>
              <x14:cfvo type="max"/>
            </x14:dataBar>
          </x14:cfRule>
          <xm:sqref>D140:M141</xm:sqref>
        </x14:conditionalFormatting>
        <x14:conditionalFormatting xmlns:xm="http://schemas.microsoft.com/office/excel/2006/main">
          <x14:cfRule type="dataBar" id="{21706DA6-5691-4F80-9621-E75852A7D367}">
            <x14:dataBar minLength="0" maxLength="100" negativeBarColorSameAsPositive="1" axisPosition="none">
              <x14:cfvo type="min"/>
              <x14:cfvo type="max"/>
            </x14:dataBar>
          </x14:cfRule>
          <xm:sqref>D142:M142</xm:sqref>
        </x14:conditionalFormatting>
        <x14:conditionalFormatting xmlns:xm="http://schemas.microsoft.com/office/excel/2006/main">
          <x14:cfRule type="dataBar" id="{435F747E-6916-4CBD-BAC9-DFCED5BFDD88}">
            <x14:dataBar minLength="0" maxLength="100" negativeBarColorSameAsPositive="1" axisPosition="none">
              <x14:cfvo type="min"/>
              <x14:cfvo type="max"/>
            </x14:dataBar>
          </x14:cfRule>
          <xm:sqref>D140:M142</xm:sqref>
        </x14:conditionalFormatting>
        <x14:conditionalFormatting xmlns:xm="http://schemas.microsoft.com/office/excel/2006/main">
          <x14:cfRule type="dataBar" id="{88AD5D8D-09F6-4C55-8D40-AF17EE2B4DC2}">
            <x14:dataBar minLength="0" maxLength="100" negativeBarColorSameAsPositive="1" axisPosition="none">
              <x14:cfvo type="min"/>
              <x14:cfvo type="max"/>
            </x14:dataBar>
          </x14:cfRule>
          <xm:sqref>D180:M181</xm:sqref>
        </x14:conditionalFormatting>
        <x14:conditionalFormatting xmlns:xm="http://schemas.microsoft.com/office/excel/2006/main">
          <x14:cfRule type="dataBar" id="{7712C621-3439-4E6F-B52D-B9756D1CADC3}">
            <x14:dataBar minLength="0" maxLength="100" negativeBarColorSameAsPositive="1" axisPosition="none">
              <x14:cfvo type="min"/>
              <x14:cfvo type="max"/>
            </x14:dataBar>
          </x14:cfRule>
          <xm:sqref>D182:M182</xm:sqref>
        </x14:conditionalFormatting>
        <x14:conditionalFormatting xmlns:xm="http://schemas.microsoft.com/office/excel/2006/main">
          <x14:cfRule type="dataBar" id="{3E8F302A-E132-44DF-9190-2FDB97F55120}">
            <x14:dataBar minLength="0" maxLength="100" negativeBarColorSameAsPositive="1" axisPosition="none">
              <x14:cfvo type="min"/>
              <x14:cfvo type="max"/>
            </x14:dataBar>
          </x14:cfRule>
          <xm:sqref>D180:M182</xm:sqref>
        </x14:conditionalFormatting>
        <x14:conditionalFormatting xmlns:xm="http://schemas.microsoft.com/office/excel/2006/main">
          <x14:cfRule type="dataBar" id="{8DA182D8-06B9-4A96-9366-6E24F36BC222}">
            <x14:dataBar minLength="0" maxLength="100" negativeBarColorSameAsPositive="1" axisPosition="none">
              <x14:cfvo type="min"/>
              <x14:cfvo type="max"/>
            </x14:dataBar>
          </x14:cfRule>
          <xm:sqref>D218:M219</xm:sqref>
        </x14:conditionalFormatting>
        <x14:conditionalFormatting xmlns:xm="http://schemas.microsoft.com/office/excel/2006/main">
          <x14:cfRule type="dataBar" id="{23287401-0371-4CB5-8CC7-440F5AAA8298}">
            <x14:dataBar minLength="0" maxLength="100" negativeBarColorSameAsPositive="1" axisPosition="none">
              <x14:cfvo type="min"/>
              <x14:cfvo type="max"/>
            </x14:dataBar>
          </x14:cfRule>
          <xm:sqref>D220:M220</xm:sqref>
        </x14:conditionalFormatting>
        <x14:conditionalFormatting xmlns:xm="http://schemas.microsoft.com/office/excel/2006/main">
          <x14:cfRule type="dataBar" id="{8EFF0F7A-59BC-4B37-9DC4-8A4259996AD7}">
            <x14:dataBar minLength="0" maxLength="100" negativeBarColorSameAsPositive="1" axisPosition="none">
              <x14:cfvo type="min"/>
              <x14:cfvo type="max"/>
            </x14:dataBar>
          </x14:cfRule>
          <xm:sqref>D218:M220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IV321"/>
  <sheetViews>
    <sheetView showGridLines="0" zoomScale="85" zoomScaleNormal="85" workbookViewId="0">
      <pane ySplit="1" topLeftCell="A281" activePane="bottomLeft" state="frozen"/>
      <selection pane="bottomLeft" activeCell="C124" sqref="C124:N126"/>
    </sheetView>
  </sheetViews>
  <sheetFormatPr defaultColWidth="11.625" defaultRowHeight="14.35"/>
  <cols>
    <col min="1" max="2" width="9" customWidth="1"/>
    <col min="3" max="14" width="11.625" bestFit="1" customWidth="1"/>
    <col min="15" max="15" width="11.625" style="39" bestFit="1" customWidth="1"/>
  </cols>
  <sheetData>
    <row r="1" spans="1:256" s="38" customFormat="1">
      <c r="A1" s="36" t="s">
        <v>200</v>
      </c>
      <c r="B1" s="37" t="s">
        <v>190</v>
      </c>
      <c r="C1" s="37" t="s">
        <v>192</v>
      </c>
      <c r="D1" s="37" t="s">
        <v>193</v>
      </c>
      <c r="E1" s="37" t="s">
        <v>194</v>
      </c>
      <c r="O1" s="44"/>
    </row>
    <row r="2" spans="1:256" ht="13.5" customHeight="1">
      <c r="E2" s="4"/>
      <c r="F2" s="4"/>
      <c r="G2" s="4"/>
      <c r="H2" s="4"/>
      <c r="I2" s="4"/>
      <c r="J2" s="4"/>
      <c r="K2" s="4"/>
      <c r="L2" s="4"/>
    </row>
    <row r="3" spans="1:256" ht="13.5" customHeight="1">
      <c r="E3" s="4"/>
      <c r="F3" s="4"/>
      <c r="G3" s="4"/>
      <c r="H3" s="4"/>
      <c r="I3" s="4"/>
      <c r="J3" s="4"/>
      <c r="K3" s="4"/>
      <c r="L3" s="4"/>
    </row>
    <row r="4" spans="1:256" ht="13.5" customHeight="1">
      <c r="E4" s="4"/>
      <c r="F4" s="4"/>
      <c r="G4" s="4"/>
      <c r="H4" s="4"/>
      <c r="I4" s="4"/>
      <c r="J4" s="4"/>
      <c r="K4" s="4"/>
      <c r="L4" s="4"/>
    </row>
    <row r="5" spans="1:256" ht="13.5" customHeight="1">
      <c r="E5" s="4"/>
      <c r="F5" s="4"/>
      <c r="G5" s="4"/>
      <c r="H5" s="4"/>
      <c r="I5" s="4"/>
      <c r="J5" s="4"/>
      <c r="K5" s="4"/>
      <c r="L5" s="4"/>
    </row>
    <row r="7" spans="1:256" s="39" customFormat="1"/>
    <row r="8" spans="1:256" s="39" customFormat="1">
      <c r="C8" s="39" t="s">
        <v>1</v>
      </c>
      <c r="D8" s="39" t="s">
        <v>8</v>
      </c>
      <c r="E8" s="39" t="s">
        <v>2</v>
      </c>
      <c r="F8" s="39" t="s">
        <v>14</v>
      </c>
      <c r="G8" s="39" t="s">
        <v>15</v>
      </c>
      <c r="H8" s="41" t="s">
        <v>130</v>
      </c>
    </row>
    <row r="9" spans="1:256" s="39" customFormat="1">
      <c r="C9" s="39" t="str">
        <f>首页!G17</f>
        <v>600519.sh</v>
      </c>
      <c r="D9" s="39" t="str">
        <f>[1]!EM_S_INFO_NAME(C9)</f>
        <v>贵州茅台</v>
      </c>
      <c r="E9" s="39" t="str">
        <f>[1]!EM_S_IPO_LISTEDDATE(C9)</f>
        <v>2001-08-27</v>
      </c>
      <c r="F9" s="39" t="str">
        <f>[1]!EM_S_INFO_INDUSTRY_EM2016(C9,"2")</f>
        <v>饮料</v>
      </c>
      <c r="G9" s="39" t="str">
        <f>VLOOKUP(F9,其他!A:B,2,FALSE)</f>
        <v>004002002</v>
      </c>
      <c r="H9" s="41">
        <f>[1]!EM_BK_SCOUNT(G9,"N","0")</f>
        <v>45</v>
      </c>
    </row>
    <row r="10" spans="1:256" s="39" customFormat="1"/>
    <row r="13" spans="1:256" s="7" customFormat="1" hidden="1">
      <c r="C13" s="8"/>
      <c r="D13" s="8"/>
      <c r="E13" s="8"/>
      <c r="F13" s="8"/>
      <c r="G13" s="8"/>
      <c r="H13" s="8"/>
      <c r="I13" s="8"/>
      <c r="J13" s="8"/>
      <c r="K13" s="8"/>
      <c r="L13" s="8"/>
      <c r="M13" s="8"/>
      <c r="N13" s="8"/>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row>
    <row r="14" spans="1:256" hidden="1"/>
    <row r="15" spans="1:256" s="7" customFormat="1" ht="13.5" hidden="1" customHeight="1">
      <c r="O15" s="39"/>
    </row>
    <row r="16" spans="1:256" s="7" customFormat="1" hidden="1">
      <c r="D16" s="9"/>
      <c r="E16" s="9"/>
      <c r="F16" s="9"/>
      <c r="G16" s="9"/>
      <c r="H16" s="9"/>
      <c r="I16" s="9"/>
      <c r="J16" s="9"/>
      <c r="K16" s="9"/>
      <c r="L16" s="9"/>
      <c r="M16" s="9"/>
      <c r="O16" s="39"/>
    </row>
    <row r="17" spans="1:25" s="7" customFormat="1" hidden="1">
      <c r="D17" s="9"/>
      <c r="E17" s="9"/>
      <c r="F17" s="9"/>
      <c r="G17" s="9"/>
      <c r="H17" s="9"/>
      <c r="I17" s="9"/>
      <c r="J17" s="9"/>
      <c r="K17" s="9"/>
      <c r="L17" s="9"/>
      <c r="M17" s="9"/>
      <c r="N17" s="8"/>
      <c r="O17" s="45"/>
      <c r="P17" s="8"/>
      <c r="Q17" s="8"/>
      <c r="R17" s="8"/>
      <c r="S17" s="8"/>
      <c r="T17" s="8"/>
      <c r="U17" s="8"/>
      <c r="V17" s="8"/>
      <c r="W17" s="8"/>
      <c r="X17" s="8"/>
      <c r="Y17" s="8"/>
    </row>
    <row r="19" spans="1:25" ht="25.55" customHeight="1">
      <c r="A19" s="83" t="s">
        <v>133</v>
      </c>
      <c r="B19" s="84" t="s">
        <v>209</v>
      </c>
      <c r="C19" s="84"/>
    </row>
    <row r="20" spans="1:25" ht="13.5" customHeight="1">
      <c r="A20" s="83"/>
      <c r="B20" s="84"/>
      <c r="C20" s="84"/>
    </row>
    <row r="21" spans="1:25" ht="13.5" customHeight="1">
      <c r="A21" s="83"/>
      <c r="B21" s="84"/>
      <c r="C21" s="84"/>
      <c r="D21" s="48" t="str">
        <f>偿债能力!D19</f>
        <v>0.5%</v>
      </c>
      <c r="E21" s="48" t="str">
        <f>偿债能力!E19</f>
        <v>0.5%</v>
      </c>
      <c r="F21" s="48" t="str">
        <f>偿债能力!F19</f>
        <v>0.5%</v>
      </c>
      <c r="G21" s="48" t="str">
        <f>偿债能力!G19</f>
        <v>0.5%</v>
      </c>
      <c r="H21" s="48" t="str">
        <f>偿债能力!H19</f>
        <v>0.5%</v>
      </c>
      <c r="I21" s="48" t="str">
        <f>偿债能力!I19</f>
        <v>1%</v>
      </c>
      <c r="J21" s="48" t="str">
        <f>偿债能力!J19</f>
        <v>5%</v>
      </c>
      <c r="K21" s="48" t="str">
        <f>偿债能力!K19</f>
        <v>20%</v>
      </c>
      <c r="L21" s="48" t="str">
        <f>偿债能力!L19</f>
        <v>30%</v>
      </c>
      <c r="M21" s="48" t="str">
        <f>偿债能力!M19</f>
        <v>40%</v>
      </c>
    </row>
    <row r="22" spans="1:25" ht="13.5" customHeight="1">
      <c r="D22" s="16" t="str">
        <f>偿债能力!D20</f>
        <v>2009-12-31</v>
      </c>
      <c r="E22" s="16" t="str">
        <f>偿债能力!E20</f>
        <v>2010-12-31</v>
      </c>
      <c r="F22" s="16" t="str">
        <f>偿债能力!F20</f>
        <v>2011-12-31</v>
      </c>
      <c r="G22" s="16" t="str">
        <f>偿债能力!G20</f>
        <v>2012-12-31</v>
      </c>
      <c r="H22" s="16" t="str">
        <f>偿债能力!H20</f>
        <v>2013-12-31</v>
      </c>
      <c r="I22" s="16" t="str">
        <f>偿债能力!I20</f>
        <v>2014-12-31</v>
      </c>
      <c r="J22" s="16" t="str">
        <f>偿债能力!J20</f>
        <v>2015-12-31</v>
      </c>
      <c r="K22" s="16" t="str">
        <f>偿债能力!K20</f>
        <v>2016-12-31</v>
      </c>
      <c r="L22" s="16" t="str">
        <f>偿债能力!L20</f>
        <v>2017-12-31</v>
      </c>
      <c r="M22" s="16" t="str">
        <f>偿债能力!M20</f>
        <v>2018-12-31</v>
      </c>
      <c r="N22" s="17" t="s">
        <v>119</v>
      </c>
    </row>
    <row r="23" spans="1:25" ht="13.5" customHeight="1">
      <c r="C23" s="18" t="str">
        <f>偿债能力!C21</f>
        <v>贵州茅台</v>
      </c>
      <c r="D23" s="10">
        <f>[1]!EM_S_FA_ARTURN($C$9,D22)</f>
        <v>31.830970762021</v>
      </c>
      <c r="E23" s="10">
        <f>[1]!EM_S_FA_ARTURN($C$9,E22)</f>
        <v>38.254023363713998</v>
      </c>
      <c r="F23" s="10">
        <f>[1]!EM_S_FA_ARTURN($C$9,F22)</f>
        <v>79.942029726011995</v>
      </c>
      <c r="G23" s="10">
        <f>[1]!EM_S_FA_ARTURN($C$9,G22)</f>
        <v>111.10457243445001</v>
      </c>
      <c r="H23" s="10">
        <f>[1]!EM_S_FA_ARTURN($C$9,H22)</f>
        <v>119.180170461934</v>
      </c>
      <c r="I23" s="10">
        <f>[1]!EM_S_FA_ARTURN($C$9,I22)</f>
        <v>29.382630604905</v>
      </c>
      <c r="J23" s="10">
        <f>[1]!EM_S_FA_ARTURN($C$9,J22)</f>
        <v>6.2618368615140003</v>
      </c>
      <c r="K23" s="10">
        <f>[1]!EM_S_FA_ARTURN($C$9,K22)</f>
        <v>8.2713727025419992</v>
      </c>
      <c r="L23" s="10">
        <f>[1]!EM_S_FA_ARTURN($C$9,L22)</f>
        <v>57.094996541171</v>
      </c>
      <c r="M23" s="10">
        <f>[1]!EM_S_FA_ARTURN($C$9,M22)</f>
        <v>82.487941657453007</v>
      </c>
      <c r="N23" s="73" t="str">
        <f>IFERROR(IF(O23&gt;O24,"优","差"),"")</f>
        <v>差</v>
      </c>
      <c r="O23" s="46">
        <f>(M23*M21)+(L23*L21)+(K23*K21)+(J23*J21)+(I23*I21)+(H23*H21)+(G23*G21)+(F23*F21)+(E23*E21)+(D23*D21)</f>
        <v>54.286427148706302</v>
      </c>
    </row>
    <row r="24" spans="1:25" ht="13.5" customHeight="1">
      <c r="C24" s="18" t="str">
        <f>偿债能力!C22</f>
        <v>饮料</v>
      </c>
      <c r="D24" s="10">
        <f>[1]!EM_BK_FA_ALL_ARTURN($G$9,D22,"0")</f>
        <v>43.004549258927099</v>
      </c>
      <c r="E24" s="10">
        <f>[1]!EM_BK_FA_ALL_ARTURN($G$9,E22,"0")</f>
        <v>50.290525410280544</v>
      </c>
      <c r="F24" s="10">
        <f>[1]!EM_BK_FA_ALL_ARTURN($G$9,F22,"0")</f>
        <v>64.924426186436364</v>
      </c>
      <c r="G24" s="10">
        <f>[1]!EM_BK_FA_ALL_ARTURN($G$9,G22,"0")</f>
        <v>69.355489367346664</v>
      </c>
      <c r="H24" s="10">
        <f>[1]!EM_BK_FA_ALL_ARTURN($G$9,H22,"0")</f>
        <v>65.913412319046358</v>
      </c>
      <c r="I24" s="10">
        <f>[1]!EM_BK_FA_ALL_ARTURN($G$9,I22,"0")</f>
        <v>67.860989126220019</v>
      </c>
      <c r="J24" s="10">
        <f>[1]!EM_BK_FA_ALL_ARTURN($G$9,J22,"0")</f>
        <v>73.158301746885698</v>
      </c>
      <c r="K24" s="10">
        <f>[1]!EM_BK_FA_ALL_ARTURN($G$9,K22,"0")</f>
        <v>65.734663732409373</v>
      </c>
      <c r="L24" s="10">
        <f>[1]!EM_BK_FA_ALL_ARTURN($G$9,L22,"0")</f>
        <v>72.429290751880586</v>
      </c>
      <c r="M24" s="10">
        <f>[1]!EM_BK_FA_ALL_ARTURN($G$9,M22,"0")</f>
        <v>74.842159081193856</v>
      </c>
      <c r="N24" s="73"/>
      <c r="O24" s="46">
        <f>(M24*M21)+(L24*L21)+(K24*K21)+(J24*J21)+(I24*I21)+(H24*H21)+(G24*G21)+(F24*F21)+(E24*E21)+(D24*D21)</f>
        <v>70.616550595840266</v>
      </c>
    </row>
    <row r="25" spans="1:25">
      <c r="C25" s="18" t="s">
        <v>140</v>
      </c>
      <c r="D25" s="10">
        <f>[1]!EM_BK_FA_ALL_ARTURN("001004",D22,"0")</f>
        <v>12.884598907137075</v>
      </c>
      <c r="E25" s="10">
        <f>[1]!EM_BK_FA_ALL_ARTURN("001004",E22,"0")</f>
        <v>13.851042973128823</v>
      </c>
      <c r="F25" s="10">
        <f>[1]!EM_BK_FA_ALL_ARTURN("001004",F22,"0")</f>
        <v>12.09605786003736</v>
      </c>
      <c r="G25" s="10">
        <f>[1]!EM_BK_FA_ALL_ARTURN("001004",G22,"0")</f>
        <v>10.792541298320536</v>
      </c>
      <c r="H25" s="10">
        <f>[1]!EM_BK_FA_ALL_ARTURN("001004",H22,"0")</f>
        <v>10.811716218311046</v>
      </c>
      <c r="I25" s="10">
        <f>[1]!EM_BK_FA_ALL_ARTURN("001004",I22,"0")</f>
        <v>9.5981836315380029</v>
      </c>
      <c r="J25" s="10">
        <f>[1]!EM_BK_FA_ALL_ARTURN("001004",J22,"0")</f>
        <v>8.2780371470125687</v>
      </c>
      <c r="K25" s="10">
        <f>[1]!EM_BK_FA_ALL_ARTURN("001004",K22,"0")</f>
        <v>7.8818761923626024</v>
      </c>
      <c r="L25" s="10">
        <f>[1]!EM_BK_FA_ALL_ARTURN("001004",L22,"0")</f>
        <v>8.1202436411432029</v>
      </c>
      <c r="M25" s="10">
        <f>[1]!EM_BK_FA_ALL_ARTURN("001004",M22,"0")</f>
        <v>8.2535889657960837</v>
      </c>
      <c r="N25" s="73"/>
    </row>
    <row r="47" spans="3:14" ht="13.5" customHeight="1" thickBot="1">
      <c r="C47" s="62"/>
      <c r="D47" s="63"/>
      <c r="E47" s="63"/>
      <c r="F47" s="63"/>
      <c r="G47" s="63"/>
      <c r="H47" s="63"/>
      <c r="I47" s="63"/>
      <c r="J47" s="63"/>
      <c r="K47" s="63"/>
      <c r="L47" s="63"/>
      <c r="M47" s="63"/>
      <c r="N47" s="63"/>
    </row>
    <row r="48" spans="3:14" ht="13.5" customHeight="1">
      <c r="C48" s="86" t="s">
        <v>134</v>
      </c>
      <c r="D48" s="87"/>
      <c r="E48" s="87"/>
      <c r="F48" s="87"/>
      <c r="G48" s="87"/>
      <c r="H48" s="87"/>
      <c r="I48" s="87"/>
      <c r="J48" s="87"/>
      <c r="K48" s="87"/>
      <c r="L48" s="87"/>
      <c r="M48" s="87"/>
      <c r="N48" s="88"/>
    </row>
    <row r="49" spans="1:15">
      <c r="C49" s="89"/>
      <c r="D49" s="68"/>
      <c r="E49" s="68"/>
      <c r="F49" s="68"/>
      <c r="G49" s="68"/>
      <c r="H49" s="68"/>
      <c r="I49" s="68"/>
      <c r="J49" s="68"/>
      <c r="K49" s="68"/>
      <c r="L49" s="68"/>
      <c r="M49" s="68"/>
      <c r="N49" s="90"/>
    </row>
    <row r="50" spans="1:15" ht="14.7" thickBot="1">
      <c r="C50" s="91"/>
      <c r="D50" s="92"/>
      <c r="E50" s="92"/>
      <c r="F50" s="92"/>
      <c r="G50" s="92"/>
      <c r="H50" s="92"/>
      <c r="I50" s="92"/>
      <c r="J50" s="92"/>
      <c r="K50" s="92"/>
      <c r="L50" s="92"/>
      <c r="M50" s="92"/>
      <c r="N50" s="93"/>
    </row>
    <row r="51" spans="1:15">
      <c r="C51" s="77"/>
      <c r="D51" s="78"/>
      <c r="E51" s="78"/>
      <c r="F51" s="78"/>
      <c r="G51" s="78"/>
      <c r="H51" s="78"/>
      <c r="I51" s="78"/>
      <c r="J51" s="78"/>
      <c r="K51" s="78"/>
      <c r="L51" s="78"/>
      <c r="M51" s="78"/>
      <c r="N51" s="78"/>
    </row>
    <row r="57" spans="1:15" ht="13.5" customHeight="1">
      <c r="A57" s="85" t="s">
        <v>135</v>
      </c>
      <c r="B57" s="84" t="s">
        <v>136</v>
      </c>
      <c r="C57" s="84"/>
    </row>
    <row r="58" spans="1:15" ht="13.5" customHeight="1">
      <c r="A58" s="85"/>
      <c r="B58" s="84"/>
      <c r="C58" s="84"/>
    </row>
    <row r="59" spans="1:15" ht="13.5" customHeight="1">
      <c r="A59" s="85"/>
      <c r="B59" s="84"/>
      <c r="C59" s="84"/>
      <c r="D59" s="48" t="str">
        <f>D$21</f>
        <v>0.5%</v>
      </c>
      <c r="E59" s="48" t="str">
        <f t="shared" ref="E59:M59" si="0">E$21</f>
        <v>0.5%</v>
      </c>
      <c r="F59" s="48" t="str">
        <f t="shared" si="0"/>
        <v>0.5%</v>
      </c>
      <c r="G59" s="48" t="str">
        <f t="shared" si="0"/>
        <v>0.5%</v>
      </c>
      <c r="H59" s="48" t="str">
        <f t="shared" si="0"/>
        <v>0.5%</v>
      </c>
      <c r="I59" s="48" t="str">
        <f t="shared" si="0"/>
        <v>1%</v>
      </c>
      <c r="J59" s="48" t="str">
        <f t="shared" si="0"/>
        <v>5%</v>
      </c>
      <c r="K59" s="48" t="str">
        <f t="shared" si="0"/>
        <v>20%</v>
      </c>
      <c r="L59" s="48" t="str">
        <f t="shared" si="0"/>
        <v>30%</v>
      </c>
      <c r="M59" s="48" t="str">
        <f t="shared" si="0"/>
        <v>40%</v>
      </c>
    </row>
    <row r="60" spans="1:15" ht="13.5" customHeight="1">
      <c r="D60" s="16" t="str">
        <f>D$22</f>
        <v>2009-12-31</v>
      </c>
      <c r="E60" s="16" t="str">
        <f t="shared" ref="E60:M60" si="1">E$22</f>
        <v>2010-12-31</v>
      </c>
      <c r="F60" s="16" t="str">
        <f t="shared" si="1"/>
        <v>2011-12-31</v>
      </c>
      <c r="G60" s="16" t="str">
        <f t="shared" si="1"/>
        <v>2012-12-31</v>
      </c>
      <c r="H60" s="16" t="str">
        <f t="shared" si="1"/>
        <v>2013-12-31</v>
      </c>
      <c r="I60" s="16" t="str">
        <f t="shared" si="1"/>
        <v>2014-12-31</v>
      </c>
      <c r="J60" s="16" t="str">
        <f t="shared" si="1"/>
        <v>2015-12-31</v>
      </c>
      <c r="K60" s="16" t="str">
        <f t="shared" si="1"/>
        <v>2016-12-31</v>
      </c>
      <c r="L60" s="16" t="str">
        <f t="shared" si="1"/>
        <v>2017-12-31</v>
      </c>
      <c r="M60" s="16" t="str">
        <f t="shared" si="1"/>
        <v>2018-12-31</v>
      </c>
      <c r="N60" s="17" t="s">
        <v>119</v>
      </c>
    </row>
    <row r="61" spans="1:15" ht="13.5" customHeight="1">
      <c r="C61" s="18" t="str">
        <f>C23</f>
        <v>贵州茅台</v>
      </c>
      <c r="D61" s="10">
        <f>[1]!EM_S_FA_INVTURN($C$9,D22)</f>
        <v>0.260215415984</v>
      </c>
      <c r="E61" s="10">
        <f>[1]!EM_S_FA_INVTURN($C$9,E22)</f>
        <v>0.215623884722</v>
      </c>
      <c r="F61" s="10">
        <f>[1]!EM_S_FA_INVTURN($C$9,F22)</f>
        <v>0.24311642662300001</v>
      </c>
      <c r="G61" s="10">
        <f>[1]!EM_S_FA_INVTURN($C$9,G22)</f>
        <v>0.24260668759699999</v>
      </c>
      <c r="H61" s="10">
        <f>[1]!EM_S_FA_INVTURN($C$9,H22)</f>
        <v>0.20406152288500001</v>
      </c>
      <c r="I61" s="10">
        <f>[1]!EM_S_FA_INVTURN($C$9,I22)</f>
        <v>0.174393922752</v>
      </c>
      <c r="J61" s="10">
        <f>[1]!EM_S_FA_INVTURN($C$9,J22)</f>
        <v>0.153858861565</v>
      </c>
      <c r="K61" s="10">
        <f>[1]!EM_S_FA_INVTURN($C$9,K22)</f>
        <v>0.176526757747</v>
      </c>
      <c r="L61" s="10">
        <f>[1]!EM_S_FA_INVTURN($C$9,L22)</f>
        <v>0.27837270415199999</v>
      </c>
      <c r="M61" s="10">
        <f>[1]!EM_S_FA_INVTURN($C$9,M22)</f>
        <v>0.28631638829400002</v>
      </c>
      <c r="N61" s="73" t="str">
        <f>IFERROR(IF(O61&gt;O62,"优","差"),"")</f>
        <v>差</v>
      </c>
      <c r="O61" s="46">
        <f>(M61*M59)+(L61*L59)+(K61*K59)+(J61*J59)+(I61*I59)+(H61*H59)+(G61*G59)+(F61*F59)+(E61*E59)+(D61*D59)</f>
        <v>0.24860872010742505</v>
      </c>
    </row>
    <row r="62" spans="1:15" ht="13.5" customHeight="1">
      <c r="C62" s="18" t="str">
        <f>C24</f>
        <v>饮料</v>
      </c>
      <c r="D62" s="10">
        <f>[1]!EM_BK_FA_ALL_INVTURN($G$9,D22,"0")</f>
        <v>1.641658693111905</v>
      </c>
      <c r="E62" s="10">
        <f>[1]!EM_BK_FA_ALL_INVTURN($G$9,E22,"0")</f>
        <v>1.6352482987990833</v>
      </c>
      <c r="F62" s="10">
        <f>[1]!EM_BK_FA_ALL_INVTURN($G$9,F22,"0")</f>
        <v>1.551389321178932</v>
      </c>
      <c r="G62" s="10">
        <f>[1]!EM_BK_FA_ALL_INVTURN($G$9,G22,"0")</f>
        <v>1.3815365134178956</v>
      </c>
      <c r="H62" s="10">
        <f>[1]!EM_BK_FA_ALL_INVTURN($G$9,H22,"0")</f>
        <v>1.1945846285781825</v>
      </c>
      <c r="I62" s="10">
        <f>[1]!EM_BK_FA_ALL_INVTURN($G$9,I22,"0")</f>
        <v>1.0677980349422838</v>
      </c>
      <c r="J62" s="10">
        <f>[1]!EM_BK_FA_ALL_INVTURN($G$9,J22,"0")</f>
        <v>0.99412610496857168</v>
      </c>
      <c r="K62" s="10">
        <f>[1]!EM_BK_FA_ALL_INVTURN($G$9,K22,"0")</f>
        <v>0.94375881328627487</v>
      </c>
      <c r="L62" s="10">
        <f>[1]!EM_BK_FA_ALL_INVTURN($G$9,L22,"0")</f>
        <v>0.97135086144669591</v>
      </c>
      <c r="M62" s="10">
        <f>[1]!EM_BK_FA_ALL_INVTURN($G$9,M22,"0")</f>
        <v>1.0421116658644847</v>
      </c>
      <c r="N62" s="73"/>
      <c r="O62" s="46">
        <f>(M62*M59)+(L62*L59)+(K62*K59)+(J62*J59)+(I62*I59)+(H62*H59)+(G62*G59)+(F62*F59)+(E62*E59)+(D62*D59)</f>
        <v>0.99440806031033901</v>
      </c>
    </row>
    <row r="63" spans="1:15">
      <c r="C63" s="18" t="s">
        <v>140</v>
      </c>
      <c r="D63" s="10">
        <f>[1]!EM_BK_FA_ALL_INVTURN("001004",D22,"0")</f>
        <v>4.0844368246352047</v>
      </c>
      <c r="E63" s="10">
        <f>[1]!EM_BK_FA_ALL_INVTURN("001004",E22,"0")</f>
        <v>4.360282934497409</v>
      </c>
      <c r="F63" s="10">
        <f>[1]!EM_BK_FA_ALL_INVTURN("001004",F22,"0")</f>
        <v>4.1828021426123723</v>
      </c>
      <c r="G63" s="10">
        <f>[1]!EM_BK_FA_ALL_INVTURN("001004",G22,"0")</f>
        <v>3.734853190409213</v>
      </c>
      <c r="H63" s="10">
        <f>[1]!EM_BK_FA_ALL_INVTURN("001004",H22,"0")</f>
        <v>3.4936770294288686</v>
      </c>
      <c r="I63" s="10">
        <f>[1]!EM_BK_FA_ALL_INVTURN("001004",I22,"0")</f>
        <v>3.197445430654819</v>
      </c>
      <c r="J63" s="10">
        <f>[1]!EM_BK_FA_ALL_INVTURN("001004",J22,"0")</f>
        <v>2.7736897532753466</v>
      </c>
      <c r="K63" s="10">
        <f>[1]!EM_BK_FA_ALL_INVTURN("001004",K22,"0")</f>
        <v>2.6947622069296959</v>
      </c>
      <c r="L63" s="10">
        <f>[1]!EM_BK_FA_ALL_INVTURN("001004",L22,"0")</f>
        <v>2.810381873237533</v>
      </c>
      <c r="M63" s="10">
        <f>[1]!EM_BK_FA_ALL_INVTURN("001004",M22,"0")</f>
        <v>2.7849890277689449</v>
      </c>
      <c r="N63" s="73"/>
    </row>
    <row r="85" spans="1:14" ht="14.7" thickBot="1">
      <c r="C85" s="62"/>
      <c r="D85" s="63"/>
      <c r="E85" s="63"/>
      <c r="F85" s="63"/>
      <c r="G85" s="63"/>
      <c r="H85" s="63"/>
      <c r="I85" s="63"/>
      <c r="J85" s="63"/>
      <c r="K85" s="63"/>
      <c r="L85" s="63"/>
      <c r="M85" s="63"/>
      <c r="N85" s="63"/>
    </row>
    <row r="86" spans="1:14" ht="13.5" customHeight="1">
      <c r="C86" s="86" t="s">
        <v>137</v>
      </c>
      <c r="D86" s="87"/>
      <c r="E86" s="87"/>
      <c r="F86" s="87"/>
      <c r="G86" s="87"/>
      <c r="H86" s="87"/>
      <c r="I86" s="87"/>
      <c r="J86" s="87"/>
      <c r="K86" s="87"/>
      <c r="L86" s="87"/>
      <c r="M86" s="87"/>
      <c r="N86" s="88"/>
    </row>
    <row r="87" spans="1:14" ht="14.7" thickBot="1">
      <c r="C87" s="91"/>
      <c r="D87" s="92"/>
      <c r="E87" s="92"/>
      <c r="F87" s="92"/>
      <c r="G87" s="92"/>
      <c r="H87" s="92"/>
      <c r="I87" s="92"/>
      <c r="J87" s="92"/>
      <c r="K87" s="92"/>
      <c r="L87" s="92"/>
      <c r="M87" s="92"/>
      <c r="N87" s="93"/>
    </row>
    <row r="88" spans="1:14">
      <c r="C88" s="62"/>
      <c r="D88" s="63"/>
      <c r="E88" s="63"/>
      <c r="F88" s="63"/>
      <c r="G88" s="63"/>
      <c r="H88" s="63"/>
      <c r="I88" s="63"/>
      <c r="J88" s="63"/>
      <c r="K88" s="63"/>
      <c r="L88" s="63"/>
      <c r="M88" s="63"/>
      <c r="N88" s="63"/>
    </row>
    <row r="89" spans="1:14">
      <c r="C89" s="15"/>
      <c r="D89" s="15"/>
      <c r="E89" s="15"/>
      <c r="F89" s="15"/>
      <c r="G89" s="15"/>
      <c r="H89" s="15"/>
      <c r="I89" s="15"/>
      <c r="J89" s="15"/>
      <c r="K89" s="15"/>
      <c r="L89" s="15"/>
      <c r="M89" s="15"/>
      <c r="N89" s="15"/>
    </row>
    <row r="90" spans="1:14">
      <c r="C90" s="15"/>
      <c r="D90" s="15"/>
      <c r="E90" s="15"/>
      <c r="F90" s="15"/>
      <c r="G90" s="15"/>
      <c r="H90" s="15"/>
      <c r="I90" s="15"/>
      <c r="J90" s="15"/>
      <c r="K90" s="15"/>
      <c r="L90" s="15"/>
      <c r="M90" s="15"/>
      <c r="N90" s="15"/>
    </row>
    <row r="91" spans="1:14">
      <c r="C91" s="15"/>
      <c r="D91" s="15"/>
      <c r="E91" s="15"/>
      <c r="F91" s="15"/>
      <c r="G91" s="15"/>
      <c r="H91" s="15"/>
      <c r="I91" s="15"/>
      <c r="J91" s="15"/>
      <c r="K91" s="15"/>
      <c r="L91" s="15"/>
      <c r="M91" s="15"/>
      <c r="N91" s="15"/>
    </row>
    <row r="95" spans="1:14" ht="13.5" customHeight="1">
      <c r="A95" s="85" t="s">
        <v>142</v>
      </c>
      <c r="B95" s="94" t="s">
        <v>141</v>
      </c>
      <c r="C95" s="94"/>
    </row>
    <row r="96" spans="1:14" ht="13.5" customHeight="1">
      <c r="A96" s="85"/>
      <c r="B96" s="94"/>
      <c r="C96" s="94"/>
    </row>
    <row r="97" spans="1:15" ht="13.5" customHeight="1">
      <c r="A97" s="85"/>
      <c r="B97" s="94"/>
      <c r="C97" s="94"/>
      <c r="D97" s="48" t="str">
        <f>D59</f>
        <v>0.5%</v>
      </c>
      <c r="E97" s="48" t="str">
        <f t="shared" ref="E97:M98" si="2">E59</f>
        <v>0.5%</v>
      </c>
      <c r="F97" s="48" t="str">
        <f t="shared" si="2"/>
        <v>0.5%</v>
      </c>
      <c r="G97" s="48" t="str">
        <f t="shared" si="2"/>
        <v>0.5%</v>
      </c>
      <c r="H97" s="48" t="str">
        <f t="shared" si="2"/>
        <v>0.5%</v>
      </c>
      <c r="I97" s="48" t="str">
        <f t="shared" si="2"/>
        <v>1%</v>
      </c>
      <c r="J97" s="48" t="str">
        <f t="shared" si="2"/>
        <v>5%</v>
      </c>
      <c r="K97" s="48" t="str">
        <f t="shared" si="2"/>
        <v>20%</v>
      </c>
      <c r="L97" s="48" t="str">
        <f t="shared" si="2"/>
        <v>30%</v>
      </c>
      <c r="M97" s="48" t="str">
        <f t="shared" si="2"/>
        <v>40%</v>
      </c>
    </row>
    <row r="98" spans="1:15" ht="13.5" customHeight="1">
      <c r="D98" s="16" t="str">
        <f>D60</f>
        <v>2009-12-31</v>
      </c>
      <c r="E98" s="16" t="str">
        <f t="shared" si="2"/>
        <v>2010-12-31</v>
      </c>
      <c r="F98" s="16" t="str">
        <f t="shared" si="2"/>
        <v>2011-12-31</v>
      </c>
      <c r="G98" s="16" t="str">
        <f t="shared" si="2"/>
        <v>2012-12-31</v>
      </c>
      <c r="H98" s="16" t="str">
        <f t="shared" si="2"/>
        <v>2013-12-31</v>
      </c>
      <c r="I98" s="16" t="str">
        <f t="shared" si="2"/>
        <v>2014-12-31</v>
      </c>
      <c r="J98" s="16" t="str">
        <f t="shared" si="2"/>
        <v>2015-12-31</v>
      </c>
      <c r="K98" s="16" t="str">
        <f t="shared" si="2"/>
        <v>2016-12-31</v>
      </c>
      <c r="L98" s="16" t="str">
        <f t="shared" si="2"/>
        <v>2017-12-31</v>
      </c>
      <c r="M98" s="16" t="str">
        <f t="shared" si="2"/>
        <v>2018-12-31</v>
      </c>
      <c r="N98" s="17" t="s">
        <v>143</v>
      </c>
    </row>
    <row r="99" spans="1:15" ht="13.5" customHeight="1">
      <c r="C99" s="18" t="str">
        <f>C61</f>
        <v>贵州茅台</v>
      </c>
      <c r="D99" s="10">
        <f>[1]!EM_S_FA_FATURN($C$9,D22)</f>
        <v>3.6089512234927641</v>
      </c>
      <c r="E99" s="10">
        <f>[1]!EM_S_FA_FATURN($C$9,E22)</f>
        <v>3.1609709121131204</v>
      </c>
      <c r="F99" s="10">
        <f>[1]!EM_S_FA_FATURN($C$9,F22)</f>
        <v>3.8267033589759247</v>
      </c>
      <c r="G99" s="10">
        <f>[1]!EM_S_FA_FATURN($C$9,G22)</f>
        <v>4.3251185832152723</v>
      </c>
      <c r="H99" s="10">
        <f>[1]!EM_S_FA_FATURN($C$9,H22)</f>
        <v>4.0534116214345106</v>
      </c>
      <c r="I99" s="10">
        <f>[1]!EM_S_FA_FATURN($C$9,I22)</f>
        <v>3.4094067017198419</v>
      </c>
      <c r="J99" s="10">
        <f>[1]!EM_S_FA_FATURN($C$9,J22)</f>
        <v>3.0696863688182252</v>
      </c>
      <c r="K99" s="10">
        <f>[1]!EM_S_FA_FATURN($C$9,K22)</f>
        <v>3.1044788469096773</v>
      </c>
      <c r="L99" s="10">
        <f>[1]!EM_S_FA_FATURN($C$9,L22)</f>
        <v>4.1123475992733498</v>
      </c>
      <c r="M99" s="10">
        <f>[1]!EM_S_FA_FATURN($C$9,M22)</f>
        <v>5.0634743759902925</v>
      </c>
      <c r="N99" s="73" t="str">
        <f>IFERROR(IF(O99&gt;O100,"优","差"),"")</f>
        <v>优</v>
      </c>
      <c r="O99" s="46">
        <f>(M99*M97)+(L99*L97)+(K99*K97)+(J99*J97)+(I99*I97)+(H99*H97)+(G99*G97)+(F99*F97)+(E99*E97)+(D99*D97)</f>
        <v>4.1624439635143249</v>
      </c>
    </row>
    <row r="100" spans="1:15" ht="13.5" customHeight="1">
      <c r="C100" s="18" t="str">
        <f>C62</f>
        <v>饮料</v>
      </c>
      <c r="D100" s="10">
        <f>[1]!EM_BK_FA_ALL_FATURN($G$9,D22,"0")</f>
        <v>2.5165699242825301</v>
      </c>
      <c r="E100" s="10">
        <f>[1]!EM_BK_FA_ALL_FATURN($G$9,E22,"0")</f>
        <v>2.7319127191605577</v>
      </c>
      <c r="F100" s="10">
        <f>[1]!EM_BK_FA_ALL_FATURN($G$9,F22,"0")</f>
        <v>3.1640555862081117</v>
      </c>
      <c r="G100" s="10">
        <f>[1]!EM_BK_FA_ALL_FATURN($G$9,G22,"0")</f>
        <v>3.4542253169316495</v>
      </c>
      <c r="H100" s="10">
        <f>[1]!EM_BK_FA_ALL_FATURN($G$9,H22,"0")</f>
        <v>3.0823682878833831</v>
      </c>
      <c r="I100" s="10">
        <f>[1]!EM_BK_FA_ALL_FATURN($G$9,I22,"0")</f>
        <v>2.7546307764050049</v>
      </c>
      <c r="J100" s="10">
        <f>[1]!EM_BK_FA_ALL_FATURN($G$9,J22,"0")</f>
        <v>2.635659404942293</v>
      </c>
      <c r="K100" s="10">
        <f>[1]!EM_BK_FA_ALL_FATURN($G$9,K22,"0")</f>
        <v>2.5891249304052555</v>
      </c>
      <c r="L100" s="10">
        <f>[1]!EM_BK_FA_ALL_FATURN($G$9,L22,"0")</f>
        <v>2.8679975852477906</v>
      </c>
      <c r="M100" s="10">
        <f>[1]!EM_BK_FA_ALL_FATURN($G$9,M22,"0")</f>
        <v>3.4623594733272642</v>
      </c>
      <c r="N100" s="73"/>
      <c r="O100" s="46">
        <f>(M100*M97)+(L100*L97)+(K100*K97)+(J100*J97)+(I100*I97)+(H100*H97)+(G100*G97)+(F100*F97)+(E100*E97)+(D100*D97)</f>
        <v>2.9972429881697904</v>
      </c>
    </row>
    <row r="101" spans="1:15" ht="13.5" customHeight="1">
      <c r="C101" s="18" t="s">
        <v>144</v>
      </c>
      <c r="D101" s="10">
        <f>[1]!EM_BK_FA_ALL_FATURN("001004",D22,"0")</f>
        <v>2.7062891935454534</v>
      </c>
      <c r="E101" s="10">
        <f>[1]!EM_BK_FA_ALL_FATURN("001004",E22,"0")</f>
        <v>3.1327212555975246</v>
      </c>
      <c r="F101" s="10">
        <f>[1]!EM_BK_FA_ALL_FATURN("001004",F22,"0")</f>
        <v>3.333762152596905</v>
      </c>
      <c r="G101" s="10">
        <f>[1]!EM_BK_FA_ALL_FATURN("001004",G22,"0")</f>
        <v>3.2536913159357259</v>
      </c>
      <c r="H101" s="10">
        <f>[1]!EM_BK_FA_ALL_FATURN("001004",H22,"0")</f>
        <v>3.1813148814082024</v>
      </c>
      <c r="I101" s="10">
        <f>[1]!EM_BK_FA_ALL_FATURN("001004",I22,"0")</f>
        <v>3.0495656706753445</v>
      </c>
      <c r="J101" s="10">
        <f>[1]!EM_BK_FA_ALL_FATURN("001004",J22,"0")</f>
        <v>2.833618829832028</v>
      </c>
      <c r="K101" s="10">
        <f>[1]!EM_BK_FA_ALL_FATURN("001004",K22,"0")</f>
        <v>2.8108060013827401</v>
      </c>
      <c r="L101" s="10">
        <f>[1]!EM_BK_FA_ALL_FATURN("001004",L22,"0")</f>
        <v>3.0834160838204947</v>
      </c>
      <c r="M101" s="10">
        <f>[1]!EM_BK_FA_ALL_FATURN("001004",M22,"0")</f>
        <v>3.2312628496056948</v>
      </c>
      <c r="N101" s="73"/>
    </row>
    <row r="123" spans="3:14" ht="14.7" thickBot="1">
      <c r="C123" s="62"/>
      <c r="D123" s="63"/>
      <c r="E123" s="63"/>
      <c r="F123" s="63"/>
      <c r="G123" s="63"/>
      <c r="H123" s="63"/>
      <c r="I123" s="63"/>
      <c r="J123" s="63"/>
      <c r="K123" s="63"/>
      <c r="L123" s="63"/>
      <c r="M123" s="63"/>
      <c r="N123" s="63"/>
    </row>
    <row r="124" spans="3:14" ht="13.5" customHeight="1">
      <c r="C124" s="86" t="s">
        <v>145</v>
      </c>
      <c r="D124" s="87"/>
      <c r="E124" s="87"/>
      <c r="F124" s="87"/>
      <c r="G124" s="87"/>
      <c r="H124" s="87"/>
      <c r="I124" s="87"/>
      <c r="J124" s="87"/>
      <c r="K124" s="87"/>
      <c r="L124" s="87"/>
      <c r="M124" s="87"/>
      <c r="N124" s="88"/>
    </row>
    <row r="125" spans="3:14">
      <c r="C125" s="89"/>
      <c r="D125" s="68"/>
      <c r="E125" s="68"/>
      <c r="F125" s="68"/>
      <c r="G125" s="68"/>
      <c r="H125" s="68"/>
      <c r="I125" s="68"/>
      <c r="J125" s="68"/>
      <c r="K125" s="68"/>
      <c r="L125" s="68"/>
      <c r="M125" s="68"/>
      <c r="N125" s="90"/>
    </row>
    <row r="126" spans="3:14" ht="14.7" thickBot="1">
      <c r="C126" s="91"/>
      <c r="D126" s="92"/>
      <c r="E126" s="92"/>
      <c r="F126" s="92"/>
      <c r="G126" s="92"/>
      <c r="H126" s="92"/>
      <c r="I126" s="92"/>
      <c r="J126" s="92"/>
      <c r="K126" s="92"/>
      <c r="L126" s="92"/>
      <c r="M126" s="92"/>
      <c r="N126" s="93"/>
    </row>
    <row r="127" spans="3:14">
      <c r="C127" s="80"/>
      <c r="D127" s="81"/>
      <c r="E127" s="81"/>
      <c r="F127" s="81"/>
      <c r="G127" s="81"/>
      <c r="H127" s="81"/>
      <c r="I127" s="81"/>
      <c r="J127" s="81"/>
      <c r="K127" s="81"/>
      <c r="L127" s="81"/>
      <c r="M127" s="81"/>
      <c r="N127" s="81"/>
    </row>
    <row r="128" spans="3:14">
      <c r="C128" s="21"/>
      <c r="D128" s="22"/>
      <c r="E128" s="22"/>
      <c r="F128" s="22"/>
      <c r="G128" s="22"/>
      <c r="H128" s="22"/>
      <c r="I128" s="22"/>
      <c r="J128" s="22"/>
      <c r="K128" s="22"/>
      <c r="L128" s="22"/>
      <c r="M128" s="22"/>
      <c r="N128" s="22"/>
    </row>
    <row r="129" spans="1:15">
      <c r="C129" s="21"/>
      <c r="D129" s="22"/>
      <c r="E129" s="22"/>
      <c r="F129" s="22"/>
      <c r="G129" s="22"/>
      <c r="H129" s="22"/>
      <c r="I129" s="22"/>
      <c r="J129" s="22"/>
      <c r="K129" s="22"/>
      <c r="L129" s="22"/>
      <c r="M129" s="22"/>
      <c r="N129" s="22"/>
    </row>
    <row r="130" spans="1:15">
      <c r="C130" s="21"/>
      <c r="D130" s="22"/>
      <c r="E130" s="22"/>
      <c r="F130" s="22"/>
      <c r="G130" s="22"/>
      <c r="H130" s="22"/>
      <c r="I130" s="22"/>
      <c r="J130" s="22"/>
      <c r="K130" s="22"/>
      <c r="L130" s="22"/>
      <c r="M130" s="22"/>
      <c r="N130" s="22"/>
    </row>
    <row r="132" spans="1:15">
      <c r="C132" s="15"/>
      <c r="D132" s="15"/>
      <c r="E132" s="15"/>
      <c r="F132" s="15"/>
      <c r="G132" s="15"/>
      <c r="H132" s="15"/>
      <c r="I132" s="15"/>
      <c r="J132" s="15"/>
      <c r="K132" s="15"/>
      <c r="L132" s="15"/>
      <c r="M132" s="15"/>
      <c r="N132" s="15"/>
    </row>
    <row r="134" spans="1:15" ht="13.5" customHeight="1">
      <c r="A134" s="85" t="s">
        <v>146</v>
      </c>
      <c r="B134" s="94" t="s">
        <v>147</v>
      </c>
      <c r="C134" s="94"/>
    </row>
    <row r="135" spans="1:15" ht="13.5" customHeight="1">
      <c r="A135" s="85"/>
      <c r="B135" s="94"/>
      <c r="C135" s="94"/>
    </row>
    <row r="136" spans="1:15" ht="13.5" customHeight="1">
      <c r="A136" s="85"/>
      <c r="B136" s="94"/>
      <c r="C136" s="94"/>
      <c r="D136" s="48" t="str">
        <f>D$21</f>
        <v>0.5%</v>
      </c>
      <c r="E136" s="48" t="str">
        <f t="shared" ref="E136:M136" si="3">E$21</f>
        <v>0.5%</v>
      </c>
      <c r="F136" s="48" t="str">
        <f t="shared" si="3"/>
        <v>0.5%</v>
      </c>
      <c r="G136" s="48" t="str">
        <f t="shared" si="3"/>
        <v>0.5%</v>
      </c>
      <c r="H136" s="48" t="str">
        <f t="shared" si="3"/>
        <v>0.5%</v>
      </c>
      <c r="I136" s="48" t="str">
        <f t="shared" si="3"/>
        <v>1%</v>
      </c>
      <c r="J136" s="48" t="str">
        <f t="shared" si="3"/>
        <v>5%</v>
      </c>
      <c r="K136" s="48" t="str">
        <f t="shared" si="3"/>
        <v>20%</v>
      </c>
      <c r="L136" s="48" t="str">
        <f t="shared" si="3"/>
        <v>30%</v>
      </c>
      <c r="M136" s="48" t="str">
        <f t="shared" si="3"/>
        <v>40%</v>
      </c>
    </row>
    <row r="137" spans="1:15" ht="13.5" customHeight="1">
      <c r="D137" s="16" t="str">
        <f>D$22</f>
        <v>2009-12-31</v>
      </c>
      <c r="E137" s="16" t="str">
        <f t="shared" ref="E137:M137" si="4">E$22</f>
        <v>2010-12-31</v>
      </c>
      <c r="F137" s="16" t="str">
        <f t="shared" si="4"/>
        <v>2011-12-31</v>
      </c>
      <c r="G137" s="16" t="str">
        <f t="shared" si="4"/>
        <v>2012-12-31</v>
      </c>
      <c r="H137" s="16" t="str">
        <f t="shared" si="4"/>
        <v>2013-12-31</v>
      </c>
      <c r="I137" s="16" t="str">
        <f t="shared" si="4"/>
        <v>2014-12-31</v>
      </c>
      <c r="J137" s="16" t="str">
        <f t="shared" si="4"/>
        <v>2015-12-31</v>
      </c>
      <c r="K137" s="16" t="str">
        <f t="shared" si="4"/>
        <v>2016-12-31</v>
      </c>
      <c r="L137" s="16" t="str">
        <f t="shared" si="4"/>
        <v>2017-12-31</v>
      </c>
      <c r="M137" s="16" t="str">
        <f t="shared" si="4"/>
        <v>2018-12-31</v>
      </c>
      <c r="N137" s="17" t="s">
        <v>148</v>
      </c>
    </row>
    <row r="138" spans="1:15" ht="13.5" customHeight="1">
      <c r="C138" s="18" t="str">
        <f>C99</f>
        <v>贵州茅台</v>
      </c>
      <c r="D138" s="10">
        <f>[1]!EM_S_FA_ASSETSTURN($C$9,D22)</f>
        <v>0.54442351749499995</v>
      </c>
      <c r="E138" s="10">
        <f>[1]!EM_S_FA_ASSETSTURN($C$9,E22)</f>
        <v>0.51296301129999999</v>
      </c>
      <c r="F138" s="10">
        <f>[1]!EM_S_FA_ASSETSTURN($C$9,F22)</f>
        <v>0.608458492061</v>
      </c>
      <c r="G138" s="10">
        <f>[1]!EM_S_FA_ASSETSTURN($C$9,G22)</f>
        <v>0.66221878496599995</v>
      </c>
      <c r="H138" s="10">
        <f>[1]!EM_S_FA_ASSETSTURN($C$9,H22)</f>
        <v>0.61861356640099996</v>
      </c>
      <c r="I138" s="10">
        <f>[1]!EM_S_FA_ASSETSTURN($C$9,I22)</f>
        <v>0.531079312217</v>
      </c>
      <c r="J138" s="10">
        <f>[1]!EM_S_FA_ASSETSTURN($C$9,J22)</f>
        <v>0.43958522314600001</v>
      </c>
      <c r="K138" s="10">
        <f>[1]!EM_S_FA_ASSETSTURN($C$9,K22)</f>
        <v>0.40309064696800001</v>
      </c>
      <c r="L138" s="10">
        <f>[1]!EM_S_FA_ASSETSTURN($C$9,L22)</f>
        <v>0.493347406978</v>
      </c>
      <c r="M138" s="10">
        <f>[1]!EM_S_FA_ASSETSTURN($C$9,M22)</f>
        <v>0.52435118706399997</v>
      </c>
      <c r="N138" s="73" t="str">
        <f>IFERROR(IF(O138&gt;O139,"优","差"),"")</f>
        <v>差</v>
      </c>
      <c r="O138" s="46">
        <f>(M138*M136)+(L138*L136)+(K138*K136)+(J138*J136)+(I138*I136)+(H138*H136)+(G138*G136)+(F138*F136)+(E138*E136)+(D138*D136)</f>
        <v>0.48038626745318502</v>
      </c>
    </row>
    <row r="139" spans="1:15" ht="13.5" customHeight="1">
      <c r="C139" s="18" t="str">
        <f>C100</f>
        <v>饮料</v>
      </c>
      <c r="D139" s="10">
        <f>[1]!EM_BK_FA_ALL_ASSETSTURN($G$9,D22,"0")</f>
        <v>0.74643699652089113</v>
      </c>
      <c r="E139" s="10">
        <f>[1]!EM_BK_FA_ALL_ASSETSTURN($G$9,E22,"0")</f>
        <v>0.73404174973833769</v>
      </c>
      <c r="F139" s="10">
        <f>[1]!EM_BK_FA_ALL_ASSETSTURN($G$9,F22,"0")</f>
        <v>0.74958344980709313</v>
      </c>
      <c r="G139" s="10">
        <f>[1]!EM_BK_FA_ALL_ASSETSTURN($G$9,G22,"0")</f>
        <v>0.75770047047215983</v>
      </c>
      <c r="H139" s="10">
        <f>[1]!EM_BK_FA_ALL_ASSETSTURN($G$9,H22,"0")</f>
        <v>0.67441821109206535</v>
      </c>
      <c r="I139" s="10">
        <f>[1]!EM_BK_FA_ALL_ASSETSTURN($G$9,I22,"0")</f>
        <v>0.60561350578072104</v>
      </c>
      <c r="J139" s="10">
        <f>[1]!EM_BK_FA_ALL_ASSETSTURN($G$9,J22,"0")</f>
        <v>0.56029170538269557</v>
      </c>
      <c r="K139" s="10">
        <f>[1]!EM_BK_FA_ALL_ASSETSTURN($G$9,K22,"0")</f>
        <v>0.52343571020623569</v>
      </c>
      <c r="L139" s="10">
        <f>[1]!EM_BK_FA_ALL_ASSETSTURN($G$9,L22,"0")</f>
        <v>0.54066255926680806</v>
      </c>
      <c r="M139" s="10">
        <f>[1]!EM_BK_FA_ALL_ASSETSTURN($G$9,M22,"0")</f>
        <v>0.57670389842761738</v>
      </c>
      <c r="N139" s="73"/>
      <c r="O139" s="46">
        <f>(M139*M136)+(L139*L136)+(K139*K136)+(J139*J136)+(I139*I136)+(H139*H136)+(G139*G136)+(F139*F136)+(E139*E136)+(D139*D136)</f>
        <v>0.54994909390743119</v>
      </c>
    </row>
    <row r="140" spans="1:15" ht="13.5" customHeight="1">
      <c r="C140" s="18" t="s">
        <v>149</v>
      </c>
      <c r="D140" s="10">
        <f>[1]!EM_BK_FA_ALL_ASSETSTURN("001004",D22,"0")</f>
        <v>0.20067243437459595</v>
      </c>
      <c r="E140" s="10">
        <f>[1]!EM_BK_FA_ALL_ASSETSTURN("001004",E22,"0")</f>
        <v>0.22392367737638047</v>
      </c>
      <c r="F140" s="10">
        <f>[1]!EM_BK_FA_ALL_ASSETSTURN("001004",F22,"0")</f>
        <v>0.23088459359321034</v>
      </c>
      <c r="G140" s="10">
        <f>[1]!EM_BK_FA_ALL_ASSETSTURN("001004",G22,"0")</f>
        <v>0.21852550999031659</v>
      </c>
      <c r="H140" s="10">
        <f>[1]!EM_BK_FA_ALL_ASSETSTURN("001004",H22,"0")</f>
        <v>0.21238013179271539</v>
      </c>
      <c r="I140" s="10">
        <f>[1]!EM_BK_FA_ALL_ASSETSTURN("001004",I22,"0")</f>
        <v>0.2015269820804089</v>
      </c>
      <c r="J140" s="10">
        <f>[1]!EM_BK_FA_ALL_ASSETSTURN("001004",J22,"0")</f>
        <v>0.18153960814754702</v>
      </c>
      <c r="K140" s="10">
        <f>[1]!EM_BK_FA_ALL_ASSETSTURN("001004",K22,"0")</f>
        <v>0.17361331697682575</v>
      </c>
      <c r="L140" s="10">
        <f>[1]!EM_BK_FA_ALL_ASSETSTURN("001004",L22,"0")</f>
        <v>0.18560067141007283</v>
      </c>
      <c r="M140" s="10">
        <f>[1]!EM_BK_FA_ALL_ASSETSTURN("001004",M22,"0")</f>
        <v>0.19282208058194178</v>
      </c>
      <c r="N140" s="73"/>
    </row>
    <row r="162" spans="1:14" ht="14.7" thickBot="1">
      <c r="C162" s="62"/>
      <c r="D162" s="63"/>
      <c r="E162" s="63"/>
      <c r="F162" s="63"/>
      <c r="G162" s="63"/>
      <c r="H162" s="63"/>
      <c r="I162" s="63"/>
      <c r="J162" s="63"/>
      <c r="K162" s="63"/>
      <c r="L162" s="63"/>
      <c r="M162" s="63"/>
      <c r="N162" s="63"/>
    </row>
    <row r="163" spans="1:14" ht="13.5" customHeight="1">
      <c r="C163" s="86" t="s">
        <v>150</v>
      </c>
      <c r="D163" s="87"/>
      <c r="E163" s="87"/>
      <c r="F163" s="87"/>
      <c r="G163" s="87"/>
      <c r="H163" s="87"/>
      <c r="I163" s="87"/>
      <c r="J163" s="87"/>
      <c r="K163" s="87"/>
      <c r="L163" s="87"/>
      <c r="M163" s="87"/>
      <c r="N163" s="88"/>
    </row>
    <row r="164" spans="1:14">
      <c r="C164" s="89"/>
      <c r="D164" s="68"/>
      <c r="E164" s="68"/>
      <c r="F164" s="68"/>
      <c r="G164" s="68"/>
      <c r="H164" s="68"/>
      <c r="I164" s="68"/>
      <c r="J164" s="68"/>
      <c r="K164" s="68"/>
      <c r="L164" s="68"/>
      <c r="M164" s="68"/>
      <c r="N164" s="90"/>
    </row>
    <row r="165" spans="1:14">
      <c r="C165" s="89"/>
      <c r="D165" s="68"/>
      <c r="E165" s="68"/>
      <c r="F165" s="68"/>
      <c r="G165" s="68"/>
      <c r="H165" s="68"/>
      <c r="I165" s="68"/>
      <c r="J165" s="68"/>
      <c r="K165" s="68"/>
      <c r="L165" s="68"/>
      <c r="M165" s="68"/>
      <c r="N165" s="90"/>
    </row>
    <row r="166" spans="1:14" ht="14.7" thickBot="1">
      <c r="C166" s="91"/>
      <c r="D166" s="92"/>
      <c r="E166" s="92"/>
      <c r="F166" s="92"/>
      <c r="G166" s="92"/>
      <c r="H166" s="92"/>
      <c r="I166" s="92"/>
      <c r="J166" s="92"/>
      <c r="K166" s="92"/>
      <c r="L166" s="92"/>
      <c r="M166" s="92"/>
      <c r="N166" s="93"/>
    </row>
    <row r="167" spans="1:14">
      <c r="C167" s="62"/>
      <c r="D167" s="63"/>
      <c r="E167" s="63"/>
      <c r="F167" s="63"/>
      <c r="G167" s="63"/>
      <c r="H167" s="63"/>
      <c r="I167" s="63"/>
      <c r="J167" s="63"/>
      <c r="K167" s="63"/>
      <c r="L167" s="63"/>
      <c r="M167" s="63"/>
      <c r="N167" s="63"/>
    </row>
    <row r="168" spans="1:14">
      <c r="C168" s="19"/>
      <c r="D168" s="20"/>
      <c r="E168" s="20"/>
      <c r="F168" s="20"/>
      <c r="G168" s="20"/>
      <c r="H168" s="20"/>
      <c r="I168" s="20"/>
      <c r="J168" s="20"/>
      <c r="K168" s="20"/>
      <c r="L168" s="20"/>
      <c r="M168" s="20"/>
      <c r="N168" s="20"/>
    </row>
    <row r="169" spans="1:14">
      <c r="C169" s="19"/>
      <c r="D169" s="20"/>
      <c r="E169" s="20"/>
      <c r="F169" s="20"/>
      <c r="G169" s="20"/>
      <c r="H169" s="20"/>
      <c r="I169" s="20"/>
      <c r="J169" s="20"/>
      <c r="K169" s="20"/>
      <c r="L169" s="20"/>
      <c r="M169" s="20"/>
      <c r="N169" s="20"/>
    </row>
    <row r="170" spans="1:14">
      <c r="C170" s="19"/>
      <c r="D170" s="20"/>
      <c r="E170" s="20"/>
      <c r="F170" s="20"/>
      <c r="G170" s="20"/>
      <c r="H170" s="20"/>
      <c r="I170" s="20"/>
      <c r="J170" s="20"/>
      <c r="K170" s="20"/>
      <c r="L170" s="20"/>
      <c r="M170" s="20"/>
      <c r="N170" s="20"/>
    </row>
    <row r="171" spans="1:14">
      <c r="C171" s="19"/>
      <c r="D171" s="20"/>
      <c r="E171" s="20"/>
      <c r="F171" s="20"/>
      <c r="G171" s="20"/>
      <c r="H171" s="20"/>
      <c r="I171" s="20"/>
      <c r="J171" s="20"/>
      <c r="K171" s="20"/>
      <c r="L171" s="20"/>
      <c r="M171" s="20"/>
      <c r="N171" s="20"/>
    </row>
    <row r="172" spans="1:14">
      <c r="C172" s="15"/>
      <c r="D172" s="15"/>
      <c r="E172" s="15"/>
      <c r="F172" s="15"/>
      <c r="G172" s="15"/>
      <c r="H172" s="15"/>
      <c r="I172" s="15"/>
      <c r="J172" s="15"/>
      <c r="K172" s="15"/>
      <c r="L172" s="15"/>
      <c r="M172" s="15"/>
      <c r="N172" s="15"/>
    </row>
    <row r="174" spans="1:14" ht="13.5" customHeight="1">
      <c r="A174" s="85" t="s">
        <v>152</v>
      </c>
      <c r="B174" s="94" t="s">
        <v>151</v>
      </c>
      <c r="C174" s="94"/>
    </row>
    <row r="175" spans="1:14" ht="13.5" customHeight="1">
      <c r="A175" s="85"/>
      <c r="B175" s="94"/>
      <c r="C175" s="94"/>
    </row>
    <row r="176" spans="1:14" ht="13.5" customHeight="1">
      <c r="A176" s="85"/>
      <c r="B176" s="94"/>
      <c r="C176" s="94"/>
      <c r="D176" s="48" t="str">
        <f>D$21</f>
        <v>0.5%</v>
      </c>
      <c r="E176" s="48" t="str">
        <f t="shared" ref="E176:M176" si="5">E$21</f>
        <v>0.5%</v>
      </c>
      <c r="F176" s="48" t="str">
        <f t="shared" si="5"/>
        <v>0.5%</v>
      </c>
      <c r="G176" s="48" t="str">
        <f t="shared" si="5"/>
        <v>0.5%</v>
      </c>
      <c r="H176" s="48" t="str">
        <f t="shared" si="5"/>
        <v>0.5%</v>
      </c>
      <c r="I176" s="48" t="str">
        <f t="shared" si="5"/>
        <v>1%</v>
      </c>
      <c r="J176" s="48" t="str">
        <f t="shared" si="5"/>
        <v>5%</v>
      </c>
      <c r="K176" s="48" t="str">
        <f t="shared" si="5"/>
        <v>20%</v>
      </c>
      <c r="L176" s="48" t="str">
        <f t="shared" si="5"/>
        <v>30%</v>
      </c>
      <c r="M176" s="48" t="str">
        <f t="shared" si="5"/>
        <v>40%</v>
      </c>
    </row>
    <row r="177" spans="3:15" ht="13.5" customHeight="1">
      <c r="D177" s="16" t="str">
        <f>D$22</f>
        <v>2009-12-31</v>
      </c>
      <c r="E177" s="16" t="str">
        <f t="shared" ref="E177:M177" si="6">E$22</f>
        <v>2010-12-31</v>
      </c>
      <c r="F177" s="16" t="str">
        <f t="shared" si="6"/>
        <v>2011-12-31</v>
      </c>
      <c r="G177" s="16" t="str">
        <f t="shared" si="6"/>
        <v>2012-12-31</v>
      </c>
      <c r="H177" s="16" t="str">
        <f t="shared" si="6"/>
        <v>2013-12-31</v>
      </c>
      <c r="I177" s="16" t="str">
        <f t="shared" si="6"/>
        <v>2014-12-31</v>
      </c>
      <c r="J177" s="16" t="str">
        <f t="shared" si="6"/>
        <v>2015-12-31</v>
      </c>
      <c r="K177" s="16" t="str">
        <f t="shared" si="6"/>
        <v>2016-12-31</v>
      </c>
      <c r="L177" s="16" t="str">
        <f t="shared" si="6"/>
        <v>2017-12-31</v>
      </c>
      <c r="M177" s="16" t="str">
        <f t="shared" si="6"/>
        <v>2018-12-31</v>
      </c>
      <c r="N177" s="17" t="s">
        <v>119</v>
      </c>
    </row>
    <row r="178" spans="3:15" ht="13.5" customHeight="1">
      <c r="C178" s="18" t="str">
        <f>C138</f>
        <v>贵州茅台</v>
      </c>
      <c r="D178" s="10">
        <f>[1]!EM_S_FA_TURNDAYS($C$9,D22)</f>
        <v>1394.7788884821018</v>
      </c>
      <c r="E178" s="10">
        <f>[1]!EM_S_FA_TURNDAYS($C$9,E22)</f>
        <v>1678.9846277587501</v>
      </c>
      <c r="F178" s="10">
        <f>[1]!EM_S_FA_TURNDAYS($C$9,F22)</f>
        <v>1485.2752743666128</v>
      </c>
      <c r="G178" s="10">
        <f>[1]!EM_S_FA_TURNDAYS($C$9,G22)</f>
        <v>1487.1234404186491</v>
      </c>
      <c r="H178" s="10">
        <f>[1]!EM_S_FA_TURNDAYS($C$9,H22)</f>
        <v>1767.1944746476008</v>
      </c>
      <c r="I178" s="10">
        <f>[1]!EM_S_FA_TURNDAYS($C$9,I22)</f>
        <v>2076.5442535286452</v>
      </c>
      <c r="J178" s="10">
        <f>[1]!EM_S_FA_TURNDAYS($C$9,J22)</f>
        <v>2397.2978492566031</v>
      </c>
      <c r="K178" s="10">
        <f>[1]!EM_S_FA_TURNDAYS($C$9,K22)</f>
        <v>2082.8744970932571</v>
      </c>
      <c r="L178" s="10">
        <f>[1]!EM_S_FA_TURNDAYS($C$9,L22)</f>
        <v>1299.5355246470608</v>
      </c>
      <c r="M178" s="10">
        <f>[1]!EM_S_FA_TURNDAYS($C$9,M22)</f>
        <v>1261.714585722013</v>
      </c>
      <c r="N178" s="73" t="str">
        <f>IFERROR(IF(O178&lt;O179,"优","差"),"")</f>
        <v>差</v>
      </c>
      <c r="O178" s="46">
        <f>(M178*M176)+(L178*L176)+(K178*K176)+(J178*J176)+(I178*I176)+(H178*H176)+(G178*G176)+(F178*F176)+(E178*E176)+(D178*D176)</f>
        <v>1490.8185096280602</v>
      </c>
    </row>
    <row r="179" spans="3:15" ht="13.5" customHeight="1">
      <c r="C179" s="18" t="str">
        <f>C139</f>
        <v>饮料</v>
      </c>
      <c r="D179" s="10">
        <f>[1]!EM_BK_FA_ALL_TURNDAYS($G$9,D22,"0")</f>
        <v>227.66161256929675</v>
      </c>
      <c r="E179" s="10">
        <f>[1]!EM_BK_FA_ALL_TURNDAYS($G$9,E22,"0")</f>
        <v>227.30845923784594</v>
      </c>
      <c r="F179" s="10">
        <f>[1]!EM_BK_FA_ALL_TURNDAYS($G$9,F22,"0")</f>
        <v>237.59497808785292</v>
      </c>
      <c r="G179" s="10">
        <f>[1]!EM_BK_FA_ALL_TURNDAYS($G$9,G22,"0")</f>
        <v>265.7700810114689</v>
      </c>
      <c r="H179" s="10">
        <f>[1]!EM_BK_FA_ALL_TURNDAYS($G$9,H22,"0")</f>
        <v>306.821691048768</v>
      </c>
      <c r="I179" s="10">
        <f>[1]!EM_BK_FA_ALL_TURNDAYS($G$9,I22,"0")</f>
        <v>342.44736975277988</v>
      </c>
      <c r="J179" s="10">
        <f>[1]!EM_BK_FA_ALL_TURNDAYS($G$9,J22,"0")</f>
        <v>367.04793248573372</v>
      </c>
      <c r="K179" s="10">
        <f>[1]!EM_BK_FA_ALL_TURNDAYS($G$9,K22,"0")</f>
        <v>386.92995399480321</v>
      </c>
      <c r="L179" s="10">
        <f>[1]!EM_BK_FA_ALL_TURNDAYS($G$9,L22,"0")</f>
        <v>375.58824792084749</v>
      </c>
      <c r="M179" s="10">
        <f>[1]!EM_BK_FA_ALL_TURNDAYS($G$9,M22,"0")</f>
        <v>350.26254611430755</v>
      </c>
      <c r="N179" s="73"/>
      <c r="O179" s="46">
        <f>(M179*M176)+(L179*L176)+(K179*K176)+(J179*J176)+(I179*I176)+(H179*H176)+(G179*G176)+(F179*F176)+(E179*E176)+(D179*D176)</f>
        <v>358.27013805252852</v>
      </c>
    </row>
    <row r="180" spans="3:15" ht="13.5" customHeight="1">
      <c r="C180" s="18" t="s">
        <v>138</v>
      </c>
      <c r="D180" s="10">
        <f>[1]!EM_BK_FA_ALL_TURNDAYS("001004",D22,"0")</f>
        <v>116.07978049714576</v>
      </c>
      <c r="E180" s="10">
        <f>[1]!EM_BK_FA_ALL_TURNDAYS("001004",E22,"0")</f>
        <v>108.55427207685857</v>
      </c>
      <c r="F180" s="10">
        <f>[1]!EM_BK_FA_ALL_TURNDAYS("001004",F22,"0")</f>
        <v>115.82846785805735</v>
      </c>
      <c r="G180" s="10">
        <f>[1]!EM_BK_FA_ALL_TURNDAYS("001004",G22,"0")</f>
        <v>129.74570081816455</v>
      </c>
      <c r="H180" s="10">
        <f>[1]!EM_BK_FA_ALL_TURNDAYS("001004",H22,"0")</f>
        <v>136.34050841921371</v>
      </c>
      <c r="I180" s="10">
        <f>[1]!EM_BK_FA_ALL_TURNDAYS("001004",I22,"0")</f>
        <v>150.09697736267549</v>
      </c>
      <c r="J180" s="10">
        <f>[1]!EM_BK_FA_ALL_TURNDAYS("001004",J22,"0")</f>
        <v>173.27958223138722</v>
      </c>
      <c r="K180" s="10">
        <f>[1]!EM_BK_FA_ALL_TURNDAYS("001004",K22,"0")</f>
        <v>179.26689684894149</v>
      </c>
      <c r="L180" s="10">
        <f>[1]!EM_BK_FA_ALL_TURNDAYS("001004",L22,"0")</f>
        <v>172.43011609131329</v>
      </c>
      <c r="M180" s="10">
        <f>[1]!EM_BK_FA_ALL_TURNDAYS("001004",M22,"0")</f>
        <v>172.8818120261098</v>
      </c>
      <c r="N180" s="73"/>
    </row>
    <row r="202" spans="3:14" ht="14.7" thickBot="1">
      <c r="C202" s="62"/>
      <c r="D202" s="63"/>
      <c r="E202" s="63"/>
      <c r="F202" s="63"/>
      <c r="G202" s="63"/>
      <c r="H202" s="63"/>
      <c r="I202" s="63"/>
      <c r="J202" s="63"/>
      <c r="K202" s="63"/>
      <c r="L202" s="63"/>
      <c r="M202" s="63"/>
      <c r="N202" s="63"/>
    </row>
    <row r="203" spans="3:14" ht="13.5" customHeight="1">
      <c r="C203" s="86" t="s">
        <v>153</v>
      </c>
      <c r="D203" s="87"/>
      <c r="E203" s="87"/>
      <c r="F203" s="87"/>
      <c r="G203" s="87"/>
      <c r="H203" s="87"/>
      <c r="I203" s="87"/>
      <c r="J203" s="87"/>
      <c r="K203" s="87"/>
      <c r="L203" s="87"/>
      <c r="M203" s="87"/>
      <c r="N203" s="88"/>
    </row>
    <row r="204" spans="3:14" ht="14.7" thickBot="1">
      <c r="C204" s="91"/>
      <c r="D204" s="92"/>
      <c r="E204" s="92"/>
      <c r="F204" s="92"/>
      <c r="G204" s="92"/>
      <c r="H204" s="92"/>
      <c r="I204" s="92"/>
      <c r="J204" s="92"/>
      <c r="K204" s="92"/>
      <c r="L204" s="92"/>
      <c r="M204" s="92"/>
      <c r="N204" s="93"/>
    </row>
    <row r="205" spans="3:14">
      <c r="C205" s="62"/>
      <c r="D205" s="63"/>
      <c r="E205" s="63"/>
      <c r="F205" s="63"/>
      <c r="G205" s="63"/>
      <c r="H205" s="63"/>
      <c r="I205" s="63"/>
      <c r="J205" s="63"/>
      <c r="K205" s="63"/>
      <c r="L205" s="63"/>
      <c r="M205" s="63"/>
      <c r="N205" s="63"/>
    </row>
    <row r="206" spans="3:14">
      <c r="C206" s="15"/>
      <c r="D206" s="15"/>
      <c r="E206" s="15"/>
      <c r="F206" s="15"/>
      <c r="G206" s="15"/>
      <c r="H206" s="15"/>
      <c r="I206" s="15"/>
      <c r="J206" s="15"/>
      <c r="K206" s="15"/>
      <c r="L206" s="15"/>
      <c r="M206" s="15"/>
      <c r="N206" s="15"/>
    </row>
    <row r="210" spans="1:15">
      <c r="C210" s="15"/>
      <c r="D210" s="15"/>
      <c r="E210" s="15"/>
      <c r="F210" s="15"/>
      <c r="G210" s="15"/>
      <c r="H210" s="15"/>
      <c r="I210" s="15"/>
      <c r="J210" s="15"/>
      <c r="K210" s="15"/>
      <c r="L210" s="15"/>
      <c r="M210" s="15"/>
      <c r="N210" s="15"/>
    </row>
    <row r="212" spans="1:15" ht="13.5" customHeight="1">
      <c r="A212" s="85" t="s">
        <v>154</v>
      </c>
      <c r="B212" s="94" t="s">
        <v>155</v>
      </c>
      <c r="C212" s="94"/>
    </row>
    <row r="213" spans="1:15" ht="13.5" customHeight="1">
      <c r="A213" s="85"/>
      <c r="B213" s="94"/>
      <c r="C213" s="94"/>
    </row>
    <row r="214" spans="1:15" ht="13.5" customHeight="1">
      <c r="A214" s="85"/>
      <c r="B214" s="94"/>
      <c r="C214" s="94"/>
      <c r="D214" s="48" t="str">
        <f>D$21</f>
        <v>0.5%</v>
      </c>
      <c r="E214" s="48" t="str">
        <f t="shared" ref="E214:M214" si="7">E$21</f>
        <v>0.5%</v>
      </c>
      <c r="F214" s="48" t="str">
        <f t="shared" si="7"/>
        <v>0.5%</v>
      </c>
      <c r="G214" s="48" t="str">
        <f t="shared" si="7"/>
        <v>0.5%</v>
      </c>
      <c r="H214" s="48" t="str">
        <f t="shared" si="7"/>
        <v>0.5%</v>
      </c>
      <c r="I214" s="48" t="str">
        <f t="shared" si="7"/>
        <v>1%</v>
      </c>
      <c r="J214" s="48" t="str">
        <f t="shared" si="7"/>
        <v>5%</v>
      </c>
      <c r="K214" s="48" t="str">
        <f t="shared" si="7"/>
        <v>20%</v>
      </c>
      <c r="L214" s="48" t="str">
        <f t="shared" si="7"/>
        <v>30%</v>
      </c>
      <c r="M214" s="48" t="str">
        <f t="shared" si="7"/>
        <v>40%</v>
      </c>
    </row>
    <row r="215" spans="1:15" ht="13.5" customHeight="1">
      <c r="D215" s="16" t="str">
        <f>D$22</f>
        <v>2009-12-31</v>
      </c>
      <c r="E215" s="16" t="str">
        <f t="shared" ref="E215:M215" si="8">E$22</f>
        <v>2010-12-31</v>
      </c>
      <c r="F215" s="16" t="str">
        <f t="shared" si="8"/>
        <v>2011-12-31</v>
      </c>
      <c r="G215" s="16" t="str">
        <f t="shared" si="8"/>
        <v>2012-12-31</v>
      </c>
      <c r="H215" s="16" t="str">
        <f t="shared" si="8"/>
        <v>2013-12-31</v>
      </c>
      <c r="I215" s="16" t="str">
        <f t="shared" si="8"/>
        <v>2014-12-31</v>
      </c>
      <c r="J215" s="16" t="str">
        <f t="shared" si="8"/>
        <v>2015-12-31</v>
      </c>
      <c r="K215" s="16" t="str">
        <f t="shared" si="8"/>
        <v>2016-12-31</v>
      </c>
      <c r="L215" s="16" t="str">
        <f t="shared" si="8"/>
        <v>2017-12-31</v>
      </c>
      <c r="M215" s="16" t="str">
        <f t="shared" si="8"/>
        <v>2018-12-31</v>
      </c>
      <c r="N215" s="17" t="s">
        <v>156</v>
      </c>
    </row>
    <row r="216" spans="1:15" ht="13.5" customHeight="1">
      <c r="C216" s="18" t="str">
        <f>C178</f>
        <v>贵州茅台</v>
      </c>
      <c r="D216" s="10">
        <f>[1]!EM_S_FA_INVTURNDAYS($C$9,D22)</f>
        <v>1383.4691485847079</v>
      </c>
      <c r="E216" s="10">
        <f>[1]!EM_S_FA_INVTURNDAYS($C$9,E22)</f>
        <v>1669.5738529344351</v>
      </c>
      <c r="F216" s="10">
        <f>[1]!EM_S_FA_INVTURNDAYS($C$9,F22)</f>
        <v>1480.7720111740989</v>
      </c>
      <c r="G216" s="10">
        <f>[1]!EM_S_FA_INVTURNDAYS($C$9,G22)</f>
        <v>1483.8832497396161</v>
      </c>
      <c r="H216" s="10">
        <f>[1]!EM_S_FA_INVTURNDAYS($C$9,H22)</f>
        <v>1764.1738379208309</v>
      </c>
      <c r="I216" s="10">
        <f>[1]!EM_S_FA_INVTURNDAYS($C$9,I22)</f>
        <v>2064.2921170592881</v>
      </c>
      <c r="J216" s="10">
        <f>[1]!EM_S_FA_INVTURNDAYS($C$9,J22)</f>
        <v>2339.8067315603562</v>
      </c>
      <c r="K216" s="10">
        <f>[1]!EM_S_FA_INVTURNDAYS($C$9,K22)</f>
        <v>2039.350887053371</v>
      </c>
      <c r="L216" s="10">
        <f>[1]!EM_S_FA_INVTURNDAYS($C$9,L22)</f>
        <v>1293.2302435925219</v>
      </c>
      <c r="M216" s="10">
        <f>[1]!EM_S_FA_INVTURNDAYS($C$9,M22)</f>
        <v>1257.3503114685111</v>
      </c>
      <c r="N216" s="95" t="str">
        <f>IFERROR(IF(O216&lt;O217,"优","差"),"")</f>
        <v>差</v>
      </c>
      <c r="O216" s="46">
        <f>(M216*M214)+(L216*L214)+(K216*K214)+(J216*J214)+(I216*I214)+(H216*H214)+(G216*G214)+(F216*F214)+(E216*E214)+(D216*D214)</f>
        <v>1475.3219933262142</v>
      </c>
    </row>
    <row r="217" spans="1:15" ht="13.5" customHeight="1">
      <c r="C217" s="18" t="str">
        <f>C179</f>
        <v>饮料</v>
      </c>
      <c r="D217" s="10">
        <f>[1]!EM_BK_FA_ALL_INVTURNDAYS($G$9,D22,"0")</f>
        <v>219.29040519231745</v>
      </c>
      <c r="E217" s="10">
        <f>[1]!EM_BK_FA_ALL_INVTURNDAYS($G$9,E22,"0")</f>
        <v>220.15005321478205</v>
      </c>
      <c r="F217" s="10">
        <f>[1]!EM_BK_FA_ALL_INVTURNDAYS($G$9,F22,"0")</f>
        <v>232.05006962818896</v>
      </c>
      <c r="G217" s="10">
        <f>[1]!EM_BK_FA_ALL_INVTURNDAYS($G$9,G22,"0")</f>
        <v>260.57943203351658</v>
      </c>
      <c r="H217" s="10">
        <f>[1]!EM_BK_FA_ALL_INVTURNDAYS($G$9,H22,"0")</f>
        <v>301.35998018698677</v>
      </c>
      <c r="I217" s="10">
        <f>[1]!EM_BK_FA_ALL_INVTURNDAYS($G$9,I22,"0")</f>
        <v>337.14240729002523</v>
      </c>
      <c r="J217" s="10">
        <f>[1]!EM_BK_FA_ALL_INVTURNDAYS($G$9,J22,"0")</f>
        <v>362.12709655318935</v>
      </c>
      <c r="K217" s="10">
        <f>[1]!EM_BK_FA_ALL_INVTURNDAYS($G$9,K22,"0")</f>
        <v>381.45339140880634</v>
      </c>
      <c r="L217" s="10">
        <f>[1]!EM_BK_FA_ALL_INVTURNDAYS($G$9,L22,"0")</f>
        <v>370.61788308277056</v>
      </c>
      <c r="M217" s="10">
        <f>[1]!EM_BK_FA_ALL_INVTURNDAYS($G$9,M22,"0")</f>
        <v>345.45242299092934</v>
      </c>
      <c r="N217" s="96"/>
      <c r="O217" s="46">
        <f>(M217*M214)+(L217*L214)+(K217*K214)+(J217*J214)+(I217*I214)+(H217*H214)+(G217*G214)+(F217*F214)+(E217*E214)+(D217*D214)</f>
        <v>353.30194100480281</v>
      </c>
    </row>
    <row r="218" spans="1:15" ht="13.5" customHeight="1">
      <c r="C218" s="18" t="str">
        <f>C180</f>
        <v>全市场</v>
      </c>
      <c r="D218" s="10">
        <f>[1]!EM_BK_FA_ALL_INVTURNDAYS("001004",D22,"0")</f>
        <v>88.139446258212814</v>
      </c>
      <c r="E218" s="10">
        <f>[1]!EM_BK_FA_ALL_INVTURNDAYS("001004",E22,"0")</f>
        <v>82.563449530252939</v>
      </c>
      <c r="F218" s="10">
        <f>[1]!EM_BK_FA_ALL_INVTURNDAYS("001004",F22,"0")</f>
        <v>86.066705458643028</v>
      </c>
      <c r="G218" s="10">
        <f>[1]!EM_BK_FA_ALL_INVTURNDAYS("001004",G22,"0")</f>
        <v>96.38933089109085</v>
      </c>
      <c r="H218" s="10">
        <f>[1]!EM_BK_FA_ALL_INVTURNDAYS("001004",H22,"0")</f>
        <v>103.0432970671165</v>
      </c>
      <c r="I218" s="10">
        <f>[1]!EM_BK_FA_ALL_INVTURNDAYS("001004",I22,"0")</f>
        <v>112.58988083067113</v>
      </c>
      <c r="J218" s="10">
        <f>[1]!EM_BK_FA_ALL_INVTURNDAYS("001004",J22,"0")</f>
        <v>129.79101198138309</v>
      </c>
      <c r="K218" s="10">
        <f>[1]!EM_BK_FA_ALL_INVTURNDAYS("001004",K22,"0")</f>
        <v>133.59249253022944</v>
      </c>
      <c r="L218" s="10">
        <f>[1]!EM_BK_FA_ALL_INVTURNDAYS("001004",L22,"0")</f>
        <v>128.09647095584324</v>
      </c>
      <c r="M218" s="10">
        <f>[1]!EM_BK_FA_ALL_INVTURNDAYS("001004",M22,"0")</f>
        <v>129.26442309483571</v>
      </c>
      <c r="N218" s="97"/>
    </row>
    <row r="240" spans="3:14" ht="14.7" thickBot="1">
      <c r="C240" s="62"/>
      <c r="D240" s="62"/>
      <c r="E240" s="62"/>
      <c r="F240" s="62"/>
      <c r="G240" s="62"/>
      <c r="H240" s="62"/>
      <c r="I240" s="62"/>
      <c r="J240" s="62"/>
      <c r="K240" s="62"/>
      <c r="L240" s="62"/>
      <c r="M240" s="62"/>
      <c r="N240" s="62"/>
    </row>
    <row r="241" spans="1:15" ht="13.5" customHeight="1">
      <c r="C241" s="86" t="s">
        <v>157</v>
      </c>
      <c r="D241" s="87"/>
      <c r="E241" s="87"/>
      <c r="F241" s="87"/>
      <c r="G241" s="87"/>
      <c r="H241" s="87"/>
      <c r="I241" s="87"/>
      <c r="J241" s="87"/>
      <c r="K241" s="87"/>
      <c r="L241" s="87"/>
      <c r="M241" s="87"/>
      <c r="N241" s="88"/>
    </row>
    <row r="242" spans="1:15" ht="14.7" thickBot="1">
      <c r="C242" s="91"/>
      <c r="D242" s="92"/>
      <c r="E242" s="92"/>
      <c r="F242" s="92"/>
      <c r="G242" s="92"/>
      <c r="H242" s="92"/>
      <c r="I242" s="92"/>
      <c r="J242" s="92"/>
      <c r="K242" s="92"/>
      <c r="L242" s="92"/>
      <c r="M242" s="92"/>
      <c r="N242" s="93"/>
    </row>
    <row r="243" spans="1:15">
      <c r="C243" s="62"/>
      <c r="D243" s="62"/>
      <c r="E243" s="62"/>
      <c r="F243" s="62"/>
      <c r="G243" s="62"/>
      <c r="H243" s="62"/>
      <c r="I243" s="62"/>
      <c r="J243" s="62"/>
      <c r="K243" s="62"/>
      <c r="L243" s="62"/>
      <c r="M243" s="62"/>
      <c r="N243" s="62"/>
    </row>
    <row r="244" spans="1:15">
      <c r="C244" s="19"/>
      <c r="D244" s="19"/>
      <c r="E244" s="19"/>
      <c r="F244" s="19"/>
      <c r="G244" s="19"/>
      <c r="H244" s="19"/>
      <c r="I244" s="19"/>
      <c r="J244" s="19"/>
      <c r="K244" s="19"/>
      <c r="L244" s="19"/>
      <c r="M244" s="19"/>
      <c r="N244" s="19"/>
    </row>
    <row r="245" spans="1:15">
      <c r="C245" s="19"/>
      <c r="D245" s="19"/>
      <c r="E245" s="19"/>
      <c r="F245" s="19"/>
      <c r="G245" s="19"/>
      <c r="H245" s="19"/>
      <c r="I245" s="19"/>
      <c r="J245" s="19"/>
      <c r="K245" s="19"/>
      <c r="L245" s="19"/>
      <c r="M245" s="19"/>
      <c r="N245" s="19"/>
    </row>
    <row r="246" spans="1:15">
      <c r="C246" s="19"/>
      <c r="D246" s="19"/>
      <c r="E246" s="19"/>
      <c r="F246" s="19"/>
      <c r="G246" s="19"/>
      <c r="H246" s="19"/>
      <c r="I246" s="19"/>
      <c r="J246" s="19"/>
      <c r="K246" s="19"/>
      <c r="L246" s="19"/>
      <c r="M246" s="19"/>
      <c r="N246" s="19"/>
    </row>
    <row r="247" spans="1:15">
      <c r="C247" s="19"/>
      <c r="D247" s="19"/>
      <c r="E247" s="19"/>
      <c r="F247" s="19"/>
      <c r="G247" s="19"/>
      <c r="H247" s="19"/>
      <c r="I247" s="19"/>
      <c r="J247" s="19"/>
      <c r="K247" s="19"/>
      <c r="L247" s="19"/>
      <c r="M247" s="19"/>
      <c r="N247" s="19"/>
    </row>
    <row r="248" spans="1:15">
      <c r="C248" s="19"/>
      <c r="D248" s="19"/>
      <c r="E248" s="19"/>
      <c r="F248" s="19"/>
      <c r="G248" s="19"/>
      <c r="H248" s="19"/>
      <c r="I248" s="19"/>
      <c r="J248" s="19"/>
      <c r="K248" s="19"/>
      <c r="L248" s="19"/>
      <c r="M248" s="19"/>
      <c r="N248" s="19"/>
    </row>
    <row r="249" spans="1:15">
      <c r="C249" s="15"/>
      <c r="D249" s="15"/>
      <c r="E249" s="15"/>
      <c r="F249" s="15"/>
      <c r="G249" s="15"/>
      <c r="H249" s="15"/>
      <c r="I249" s="15"/>
      <c r="J249" s="15"/>
      <c r="K249" s="15"/>
      <c r="L249" s="15"/>
      <c r="M249" s="15"/>
      <c r="N249" s="15"/>
    </row>
    <row r="250" spans="1:15" ht="13.5" customHeight="1">
      <c r="A250" s="85" t="s">
        <v>152</v>
      </c>
      <c r="B250" s="94" t="s">
        <v>168</v>
      </c>
      <c r="C250" s="94"/>
    </row>
    <row r="251" spans="1:15" ht="13.5" customHeight="1">
      <c r="A251" s="85"/>
      <c r="B251" s="94"/>
      <c r="C251" s="94"/>
    </row>
    <row r="252" spans="1:15" ht="13.5" customHeight="1">
      <c r="A252" s="85"/>
      <c r="B252" s="94"/>
      <c r="C252" s="94"/>
      <c r="D252" s="48" t="str">
        <f>D$21</f>
        <v>0.5%</v>
      </c>
      <c r="E252" s="48" t="str">
        <f t="shared" ref="E252:M252" si="9">E$21</f>
        <v>0.5%</v>
      </c>
      <c r="F252" s="48" t="str">
        <f t="shared" si="9"/>
        <v>0.5%</v>
      </c>
      <c r="G252" s="48" t="str">
        <f t="shared" si="9"/>
        <v>0.5%</v>
      </c>
      <c r="H252" s="48" t="str">
        <f t="shared" si="9"/>
        <v>0.5%</v>
      </c>
      <c r="I252" s="48" t="str">
        <f t="shared" si="9"/>
        <v>1%</v>
      </c>
      <c r="J252" s="48" t="str">
        <f t="shared" si="9"/>
        <v>5%</v>
      </c>
      <c r="K252" s="48" t="str">
        <f t="shared" si="9"/>
        <v>20%</v>
      </c>
      <c r="L252" s="48" t="str">
        <f t="shared" si="9"/>
        <v>30%</v>
      </c>
      <c r="M252" s="48" t="str">
        <f t="shared" si="9"/>
        <v>40%</v>
      </c>
    </row>
    <row r="253" spans="1:15" ht="13.5" customHeight="1">
      <c r="D253" s="16" t="str">
        <f>D$22</f>
        <v>2009-12-31</v>
      </c>
      <c r="E253" s="16" t="str">
        <f t="shared" ref="E253:M253" si="10">E$22</f>
        <v>2010-12-31</v>
      </c>
      <c r="F253" s="16" t="str">
        <f t="shared" si="10"/>
        <v>2011-12-31</v>
      </c>
      <c r="G253" s="16" t="str">
        <f t="shared" si="10"/>
        <v>2012-12-31</v>
      </c>
      <c r="H253" s="16" t="str">
        <f t="shared" si="10"/>
        <v>2013-12-31</v>
      </c>
      <c r="I253" s="16" t="str">
        <f t="shared" si="10"/>
        <v>2014-12-31</v>
      </c>
      <c r="J253" s="16" t="str">
        <f t="shared" si="10"/>
        <v>2015-12-31</v>
      </c>
      <c r="K253" s="16" t="str">
        <f t="shared" si="10"/>
        <v>2016-12-31</v>
      </c>
      <c r="L253" s="16" t="str">
        <f t="shared" si="10"/>
        <v>2017-12-31</v>
      </c>
      <c r="M253" s="16" t="str">
        <f t="shared" si="10"/>
        <v>2018-12-31</v>
      </c>
      <c r="N253" s="17" t="s">
        <v>156</v>
      </c>
    </row>
    <row r="254" spans="1:15" ht="13.5" customHeight="1">
      <c r="C254" s="18" t="str">
        <f>C216</f>
        <v>贵州茅台</v>
      </c>
      <c r="D254" s="10">
        <f>[1]!EM_S_FA_ARTURNDAYS($C$9,D22)</f>
        <v>11.309739897394</v>
      </c>
      <c r="E254" s="10">
        <f>[1]!EM_S_FA_ARTURNDAYS($C$9,E22)</f>
        <v>9.4107748243150002</v>
      </c>
      <c r="F254" s="10">
        <f>[1]!EM_S_FA_ARTURNDAYS($C$9,F22)</f>
        <v>4.5032631925139999</v>
      </c>
      <c r="G254" s="10">
        <f>[1]!EM_S_FA_ARTURNDAYS($C$9,G22)</f>
        <v>3.2401906790330002</v>
      </c>
      <c r="H254" s="10">
        <f>[1]!EM_S_FA_ARTURNDAYS($C$9,H22)</f>
        <v>3.0206367267699998</v>
      </c>
      <c r="I254" s="10">
        <f>[1]!EM_S_FA_ARTURNDAYS($C$9,I22)</f>
        <v>12.252136469357</v>
      </c>
      <c r="J254" s="10">
        <f>[1]!EM_S_FA_ARTURNDAYS($C$9,J22)</f>
        <v>57.491117696247002</v>
      </c>
      <c r="K254" s="10">
        <f>[1]!EM_S_FA_ARTURNDAYS($C$9,K22)</f>
        <v>43.523610039886002</v>
      </c>
      <c r="L254" s="10">
        <f>[1]!EM_S_FA_ARTURNDAYS($C$9,L22)</f>
        <v>6.3052810545389999</v>
      </c>
      <c r="M254" s="10">
        <f>[1]!EM_S_FA_ARTURNDAYS($C$9,M22)</f>
        <v>4.3642742535019998</v>
      </c>
      <c r="N254" s="95" t="str">
        <f>IFERROR(IF(O254&lt;O255,"优","差"),"")</f>
        <v>差</v>
      </c>
      <c r="O254" s="46">
        <f>(M254*M252)+(L254*L252)+(K254*K252)+(J254*J252)+(I254*I252)+(H254*H252)+(G254*G252)+(F254*F252)+(E254*E252)+(D254*D252)</f>
        <v>15.496516301845752</v>
      </c>
    </row>
    <row r="255" spans="1:15" ht="13.5" customHeight="1">
      <c r="C255" s="18" t="str">
        <f>C217</f>
        <v>饮料</v>
      </c>
      <c r="D255" s="10">
        <f>[1]!EM_BK_FA_ALL_ARTURNDAYS($G$9,D$22,"0")</f>
        <v>8.3712073769792941</v>
      </c>
      <c r="E255" s="10">
        <f>[1]!EM_BK_FA_ALL_ARTURNDAYS($G$9,E$22,"0")</f>
        <v>7.1584060230638933</v>
      </c>
      <c r="F255" s="10">
        <f>[1]!EM_BK_FA_ALL_ARTURNDAYS($G$9,F$22,"0")</f>
        <v>5.5449084596639704</v>
      </c>
      <c r="G255" s="10">
        <f>[1]!EM_BK_FA_ALL_ARTURNDAYS($G$9,G$22,"0")</f>
        <v>5.1906489779523062</v>
      </c>
      <c r="H255" s="10">
        <f>[1]!EM_BK_FA_ALL_ARTURNDAYS($G$9,H$22,"0")</f>
        <v>5.4617108617812269</v>
      </c>
      <c r="I255" s="10">
        <f>[1]!EM_BK_FA_ALL_ARTURNDAYS($G$9,I$22,"0")</f>
        <v>5.3049624627546699</v>
      </c>
      <c r="J255" s="10">
        <f>[1]!EM_BK_FA_ALL_ARTURNDAYS($G$9,J$22,"0")</f>
        <v>4.9208359325443878</v>
      </c>
      <c r="K255" s="10">
        <f>[1]!EM_BK_FA_ALL_ARTURNDAYS($G$9,K$22,"0")</f>
        <v>5.4765625859968923</v>
      </c>
      <c r="L255" s="10">
        <f>[1]!EM_BK_FA_ALL_ARTURNDAYS($G$9,L$22,"0")</f>
        <v>4.9703648380769598</v>
      </c>
      <c r="M255" s="10">
        <f>[1]!EM_BK_FA_ALL_ARTURNDAYS($G$9,M$22,"0")</f>
        <v>4.8101231233781956</v>
      </c>
      <c r="N255" s="96"/>
      <c r="O255" s="46">
        <f>(M255*M252)+(L255*L252)+(K255*K252)+(J255*J252)+(I255*I252)+(H255*H252)+(G255*G252)+(F255*F252)+(E255*E252)+(D255*D252)</f>
        <v>4.968197047725714</v>
      </c>
    </row>
    <row r="256" spans="1:15" ht="13.5" customHeight="1">
      <c r="C256" s="18" t="str">
        <f>C218</f>
        <v>全市场</v>
      </c>
      <c r="D256" s="10">
        <f>[1]!EM_BK_FA_ALL_ARTURNDAYS("001004",D$22,"0")</f>
        <v>27.940334238932945</v>
      </c>
      <c r="E256" s="10">
        <f>[1]!EM_BK_FA_ALL_ARTURNDAYS("001004",E$22,"0")</f>
        <v>25.990822546605624</v>
      </c>
      <c r="F256" s="10">
        <f>[1]!EM_BK_FA_ALL_ARTURNDAYS("001004",F$22,"0")</f>
        <v>29.761762399414323</v>
      </c>
      <c r="G256" s="10">
        <f>[1]!EM_BK_FA_ALL_ARTURNDAYS("001004",G$22,"0")</f>
        <v>33.356369927073693</v>
      </c>
      <c r="H256" s="10">
        <f>[1]!EM_BK_FA_ALL_ARTURNDAYS("001004",H$22,"0")</f>
        <v>33.2972113520972</v>
      </c>
      <c r="I256" s="10">
        <f>[1]!EM_BK_FA_ALL_ARTURNDAYS("001004",I$22,"0")</f>
        <v>37.507096532004354</v>
      </c>
      <c r="J256" s="10">
        <f>[1]!EM_BK_FA_ALL_ARTURNDAYS("001004",J$22,"0")</f>
        <v>43.488570250004145</v>
      </c>
      <c r="K256" s="10">
        <f>[1]!EM_BK_FA_ALL_ARTURNDAYS("001004",K$22,"0")</f>
        <v>45.674404318712035</v>
      </c>
      <c r="L256" s="10">
        <f>[1]!EM_BK_FA_ALL_ARTURNDAYS("001004",L$22,"0")</f>
        <v>44.333645135470057</v>
      </c>
      <c r="M256" s="10">
        <f>[1]!EM_BK_FA_ALL_ARTURNDAYS("001004",M$22,"0")</f>
        <v>43.617388931274085</v>
      </c>
      <c r="N256" s="97"/>
    </row>
    <row r="278" spans="1:14" ht="14.7" thickBot="1">
      <c r="C278" s="62"/>
      <c r="D278" s="62"/>
      <c r="E278" s="62"/>
      <c r="F278" s="62"/>
      <c r="G278" s="62"/>
      <c r="H278" s="62"/>
      <c r="I278" s="62"/>
      <c r="J278" s="62"/>
      <c r="K278" s="62"/>
      <c r="L278" s="62"/>
      <c r="M278" s="62"/>
      <c r="N278" s="62"/>
    </row>
    <row r="279" spans="1:14" ht="13.5" customHeight="1">
      <c r="C279" s="86" t="s">
        <v>169</v>
      </c>
      <c r="D279" s="87"/>
      <c r="E279" s="87"/>
      <c r="F279" s="87"/>
      <c r="G279" s="87"/>
      <c r="H279" s="87"/>
      <c r="I279" s="87"/>
      <c r="J279" s="87"/>
      <c r="K279" s="87"/>
      <c r="L279" s="87"/>
      <c r="M279" s="87"/>
      <c r="N279" s="88"/>
    </row>
    <row r="280" spans="1:14" ht="14.7" thickBot="1">
      <c r="C280" s="91"/>
      <c r="D280" s="92"/>
      <c r="E280" s="92"/>
      <c r="F280" s="92"/>
      <c r="G280" s="92"/>
      <c r="H280" s="92"/>
      <c r="I280" s="92"/>
      <c r="J280" s="92"/>
      <c r="K280" s="92"/>
      <c r="L280" s="92"/>
      <c r="M280" s="92"/>
      <c r="N280" s="93"/>
    </row>
    <row r="281" spans="1:14">
      <c r="C281" s="62"/>
      <c r="D281" s="62"/>
      <c r="E281" s="62"/>
      <c r="F281" s="62"/>
      <c r="G281" s="62"/>
      <c r="H281" s="62"/>
      <c r="I281" s="62"/>
      <c r="J281" s="62"/>
      <c r="K281" s="62"/>
      <c r="L281" s="62"/>
      <c r="M281" s="62"/>
      <c r="N281" s="62"/>
    </row>
    <row r="282" spans="1:14">
      <c r="C282" s="19"/>
      <c r="D282" s="19"/>
      <c r="E282" s="19"/>
      <c r="F282" s="19"/>
      <c r="G282" s="19"/>
      <c r="H282" s="19"/>
      <c r="I282" s="19"/>
      <c r="J282" s="19"/>
      <c r="K282" s="19"/>
      <c r="L282" s="19"/>
      <c r="M282" s="19"/>
      <c r="N282" s="19"/>
    </row>
    <row r="283" spans="1:14">
      <c r="C283" s="19"/>
      <c r="D283" s="19"/>
      <c r="E283" s="19"/>
      <c r="F283" s="19"/>
      <c r="G283" s="19"/>
      <c r="H283" s="19"/>
      <c r="I283" s="19"/>
      <c r="J283" s="19"/>
      <c r="K283" s="19"/>
      <c r="L283" s="19"/>
      <c r="M283" s="19"/>
      <c r="N283" s="19"/>
    </row>
    <row r="284" spans="1:14">
      <c r="C284" s="19"/>
      <c r="D284" s="19"/>
      <c r="E284" s="19"/>
      <c r="F284" s="19"/>
      <c r="G284" s="19"/>
      <c r="H284" s="19"/>
      <c r="I284" s="19"/>
      <c r="J284" s="19"/>
      <c r="K284" s="19"/>
      <c r="L284" s="19"/>
      <c r="M284" s="19"/>
      <c r="N284" s="19"/>
    </row>
    <row r="285" spans="1:14">
      <c r="C285" s="19"/>
      <c r="D285" s="19"/>
      <c r="E285" s="19"/>
      <c r="F285" s="19"/>
      <c r="G285" s="19"/>
      <c r="H285" s="19"/>
      <c r="I285" s="19"/>
      <c r="J285" s="19"/>
      <c r="K285" s="19"/>
      <c r="L285" s="19"/>
      <c r="M285" s="19"/>
      <c r="N285" s="19"/>
    </row>
    <row r="286" spans="1:14">
      <c r="C286" s="19"/>
      <c r="D286" s="19"/>
      <c r="E286" s="19"/>
      <c r="F286" s="19"/>
      <c r="G286" s="19"/>
      <c r="H286" s="19"/>
      <c r="I286" s="19"/>
      <c r="J286" s="19"/>
      <c r="K286" s="19"/>
      <c r="L286" s="19"/>
      <c r="M286" s="19"/>
      <c r="N286" s="19"/>
    </row>
    <row r="287" spans="1:14">
      <c r="C287" s="15"/>
      <c r="D287" s="15"/>
      <c r="E287" s="15"/>
      <c r="F287" s="15"/>
      <c r="G287" s="15"/>
      <c r="H287" s="15"/>
      <c r="I287" s="15"/>
      <c r="J287" s="15"/>
      <c r="K287" s="15"/>
      <c r="L287" s="15"/>
      <c r="M287" s="15"/>
      <c r="N287" s="15"/>
    </row>
    <row r="288" spans="1:14" ht="13.5" customHeight="1">
      <c r="A288" s="85" t="s">
        <v>152</v>
      </c>
      <c r="B288" s="94" t="s">
        <v>170</v>
      </c>
      <c r="C288" s="94"/>
    </row>
    <row r="289" spans="1:15" ht="13.5" customHeight="1">
      <c r="A289" s="85"/>
      <c r="B289" s="94"/>
      <c r="C289" s="94"/>
    </row>
    <row r="290" spans="1:15" ht="13.5" customHeight="1">
      <c r="A290" s="85"/>
      <c r="B290" s="94"/>
      <c r="C290" s="94"/>
      <c r="D290" s="48" t="str">
        <f>D$21</f>
        <v>0.5%</v>
      </c>
      <c r="E290" s="48" t="str">
        <f t="shared" ref="E290:M290" si="11">E$21</f>
        <v>0.5%</v>
      </c>
      <c r="F290" s="48" t="str">
        <f t="shared" si="11"/>
        <v>0.5%</v>
      </c>
      <c r="G290" s="48" t="str">
        <f t="shared" si="11"/>
        <v>0.5%</v>
      </c>
      <c r="H290" s="48" t="str">
        <f t="shared" si="11"/>
        <v>0.5%</v>
      </c>
      <c r="I290" s="48" t="str">
        <f t="shared" si="11"/>
        <v>1%</v>
      </c>
      <c r="J290" s="48" t="str">
        <f t="shared" si="11"/>
        <v>5%</v>
      </c>
      <c r="K290" s="48" t="str">
        <f t="shared" si="11"/>
        <v>20%</v>
      </c>
      <c r="L290" s="48" t="str">
        <f t="shared" si="11"/>
        <v>30%</v>
      </c>
      <c r="M290" s="48" t="str">
        <f t="shared" si="11"/>
        <v>40%</v>
      </c>
    </row>
    <row r="291" spans="1:15" ht="13.5" customHeight="1">
      <c r="D291" s="16" t="str">
        <f>D$22</f>
        <v>2009-12-31</v>
      </c>
      <c r="E291" s="16" t="str">
        <f t="shared" ref="E291:M291" si="12">E$22</f>
        <v>2010-12-31</v>
      </c>
      <c r="F291" s="16" t="str">
        <f t="shared" si="12"/>
        <v>2011-12-31</v>
      </c>
      <c r="G291" s="16" t="str">
        <f t="shared" si="12"/>
        <v>2012-12-31</v>
      </c>
      <c r="H291" s="16" t="str">
        <f t="shared" si="12"/>
        <v>2013-12-31</v>
      </c>
      <c r="I291" s="16" t="str">
        <f t="shared" si="12"/>
        <v>2014-12-31</v>
      </c>
      <c r="J291" s="16" t="str">
        <f t="shared" si="12"/>
        <v>2015-12-31</v>
      </c>
      <c r="K291" s="16" t="str">
        <f t="shared" si="12"/>
        <v>2016-12-31</v>
      </c>
      <c r="L291" s="16" t="str">
        <f t="shared" si="12"/>
        <v>2017-12-31</v>
      </c>
      <c r="M291" s="16" t="str">
        <f t="shared" si="12"/>
        <v>2018-12-31</v>
      </c>
      <c r="N291" s="17" t="s">
        <v>156</v>
      </c>
    </row>
    <row r="292" spans="1:15" ht="13.5" customHeight="1">
      <c r="C292" s="18" t="str">
        <f>C254</f>
        <v>贵州茅台</v>
      </c>
      <c r="D292" s="10">
        <f>[1]!EM_S_FA_APTURNDAYS($C$9,D22)</f>
        <v>49.306000927402003</v>
      </c>
      <c r="E292" s="10">
        <f>[1]!EM_S_FA_APTURNDAYS($C$9,E22)</f>
        <v>63.445909253468002</v>
      </c>
      <c r="F292" s="10">
        <f>[1]!EM_S_FA_APTURNDAYS($C$9,F22)</f>
        <v>46.920197213618003</v>
      </c>
      <c r="G292" s="10">
        <f>[1]!EM_S_FA_APTURNDAYS($C$9,G22)</f>
        <v>45.576542811465998</v>
      </c>
      <c r="H292" s="10">
        <f>[1]!EM_S_FA_APTURNDAYS($C$9,H22)</f>
        <v>51.690696134037999</v>
      </c>
      <c r="I292" s="10">
        <f>[1]!EM_S_FA_APTURNDAYS($C$9,I22)</f>
        <v>76.376766757067998</v>
      </c>
      <c r="J292" s="10">
        <f>[1]!EM_S_FA_APTURNDAYS($C$9,J22)</f>
        <v>112.645357550586</v>
      </c>
      <c r="K292" s="10">
        <f>[1]!EM_S_FA_APTURNDAYS($C$9,K22)</f>
        <v>101.429505032305</v>
      </c>
      <c r="L292" s="10">
        <f>[1]!EM_S_FA_APTURNDAYS($C$9,L22)</f>
        <v>61.591357527775003</v>
      </c>
      <c r="M292" s="10">
        <f>[1]!EM_S_FA_APTURNDAYS($C$9,M22)</f>
        <v>59.890863147902998</v>
      </c>
      <c r="N292" s="95" t="str">
        <f>IFERROR(IF(O292&gt;O293,"优","差"),"")</f>
        <v>优</v>
      </c>
      <c r="O292" s="46">
        <f>(M292*M290)+(L292*L290)+(K292*K290)+(J292*J290)+(I292*I290)+(H292*H290)+(G292*G290)+(F292*F290)+(E292*E290)+(D292*D290)</f>
        <v>70.400385800754634</v>
      </c>
    </row>
    <row r="293" spans="1:15" ht="13.5" customHeight="1">
      <c r="C293" s="18" t="str">
        <f>C255</f>
        <v>饮料</v>
      </c>
      <c r="D293" s="10">
        <f>[1]!EM_BK_FA_ALL_APTURNDAYS($G$9,D22,"0")</f>
        <v>43.825244661065476</v>
      </c>
      <c r="E293" s="10">
        <f>[1]!EM_BK_FA_ALL_APTURNDAYS($G$9,E22,"0")</f>
        <v>44.4590717632516</v>
      </c>
      <c r="F293" s="10">
        <f>[1]!EM_BK_FA_ALL_APTURNDAYS($G$9,F22,"0")</f>
        <v>44.577513158613343</v>
      </c>
      <c r="G293" s="10">
        <f>[1]!EM_BK_FA_ALL_APTURNDAYS($G$9,G22,"0")</f>
        <v>49.82035231958173</v>
      </c>
      <c r="H293" s="10">
        <f>[1]!EM_BK_FA_ALL_APTURNDAYS($G$9,H22,"0")</f>
        <v>57.846091167453523</v>
      </c>
      <c r="I293" s="10">
        <f>[1]!EM_BK_FA_ALL_APTURNDAYS($G$9,I22,"0")</f>
        <v>57.75136635184824</v>
      </c>
      <c r="J293" s="10">
        <f>[1]!EM_BK_FA_ALL_APTURNDAYS($G$9,J22,"0")</f>
        <v>58.83686651420205</v>
      </c>
      <c r="K293" s="10">
        <f>[1]!EM_BK_FA_ALL_APTURNDAYS($G$9,K22,"0")</f>
        <v>65.721251715835436</v>
      </c>
      <c r="L293" s="10">
        <f>[1]!EM_BK_FA_ALL_APTURNDAYS($G$9,L22,"0")</f>
        <v>67.471907102132633</v>
      </c>
      <c r="M293" s="10">
        <f>[1]!EM_BK_FA_ALL_APTURNDAYS($G$9,M22,"0")</f>
        <v>72.395453284833508</v>
      </c>
      <c r="N293" s="96"/>
      <c r="O293" s="46">
        <f>(M293*M290)+(L293*L290)+(K293*K290)+(J293*J290)+(I293*I290)+(H293*H290)+(G293*G290)+(F293*F290)+(E293*E290)+(D293*D290)</f>
        <v>67.066002142318709</v>
      </c>
    </row>
    <row r="294" spans="1:15" ht="13.5" customHeight="1">
      <c r="C294" s="18" t="str">
        <f>C256</f>
        <v>全市场</v>
      </c>
      <c r="D294" s="10">
        <f>[1]!EM_BK_FA_ALL_APTURNDAYS("001004",D22,"0")</f>
        <v>61.38576952894195</v>
      </c>
      <c r="E294" s="10">
        <f>[1]!EM_BK_FA_ALL_APTURNDAYS("001004",E22,"0")</f>
        <v>58.10994484299485</v>
      </c>
      <c r="F294" s="10">
        <f>[1]!EM_BK_FA_ALL_APTURNDAYS("001004",F22,"0")</f>
        <v>57.898221768471586</v>
      </c>
      <c r="G294" s="10">
        <f>[1]!EM_BK_FA_ALL_APTURNDAYS("001004",G22,"0")</f>
        <v>62.770190857875363</v>
      </c>
      <c r="H294" s="10">
        <f>[1]!EM_BK_FA_ALL_APTURNDAYS("001004",H22,"0")</f>
        <v>66.349773861500267</v>
      </c>
      <c r="I294" s="10">
        <f>[1]!EM_BK_FA_ALL_APTURNDAYS("001004",I22,"0")</f>
        <v>72.183089739769898</v>
      </c>
      <c r="J294" s="10">
        <f>[1]!EM_BK_FA_ALL_APTURNDAYS("001004",J22,"0")</f>
        <v>82.69717130980392</v>
      </c>
      <c r="K294" s="10">
        <f>[1]!EM_BK_FA_ALL_APTURNDAYS("001004",K22,"0")</f>
        <v>86.232798852442428</v>
      </c>
      <c r="L294" s="10">
        <f>[1]!EM_BK_FA_ALL_APTURNDAYS("001004",L22,"0")</f>
        <v>82.174238512667145</v>
      </c>
      <c r="M294" s="10">
        <f>[1]!EM_BK_FA_ALL_APTURNDAYS("001004",M22,"0")</f>
        <v>81.43001508311248</v>
      </c>
      <c r="N294" s="97"/>
    </row>
    <row r="316" spans="3:14" ht="14.7" thickBot="1">
      <c r="C316" s="62"/>
      <c r="D316" s="62"/>
      <c r="E316" s="62"/>
      <c r="F316" s="62"/>
      <c r="G316" s="62"/>
      <c r="H316" s="62"/>
      <c r="I316" s="62"/>
      <c r="J316" s="62"/>
      <c r="K316" s="62"/>
      <c r="L316" s="62"/>
      <c r="M316" s="62"/>
      <c r="N316" s="62"/>
    </row>
    <row r="317" spans="3:14" ht="13.5" customHeight="1">
      <c r="C317" s="86" t="s">
        <v>171</v>
      </c>
      <c r="D317" s="87"/>
      <c r="E317" s="87"/>
      <c r="F317" s="87"/>
      <c r="G317" s="87"/>
      <c r="H317" s="87"/>
      <c r="I317" s="87"/>
      <c r="J317" s="87"/>
      <c r="K317" s="87"/>
      <c r="L317" s="87"/>
      <c r="M317" s="87"/>
      <c r="N317" s="88"/>
    </row>
    <row r="318" spans="3:14">
      <c r="C318" s="89"/>
      <c r="D318" s="68"/>
      <c r="E318" s="68"/>
      <c r="F318" s="68"/>
      <c r="G318" s="68"/>
      <c r="H318" s="68"/>
      <c r="I318" s="68"/>
      <c r="J318" s="68"/>
      <c r="K318" s="68"/>
      <c r="L318" s="68"/>
      <c r="M318" s="68"/>
      <c r="N318" s="90"/>
    </row>
    <row r="319" spans="3:14">
      <c r="C319" s="89"/>
      <c r="D319" s="68"/>
      <c r="E319" s="68"/>
      <c r="F319" s="68"/>
      <c r="G319" s="68"/>
      <c r="H319" s="68"/>
      <c r="I319" s="68"/>
      <c r="J319" s="68"/>
      <c r="K319" s="68"/>
      <c r="L319" s="68"/>
      <c r="M319" s="68"/>
      <c r="N319" s="90"/>
    </row>
    <row r="320" spans="3:14" ht="14.7" thickBot="1">
      <c r="C320" s="91"/>
      <c r="D320" s="92"/>
      <c r="E320" s="92"/>
      <c r="F320" s="92"/>
      <c r="G320" s="92"/>
      <c r="H320" s="92"/>
      <c r="I320" s="92"/>
      <c r="J320" s="92"/>
      <c r="K320" s="92"/>
      <c r="L320" s="92"/>
      <c r="M320" s="92"/>
      <c r="N320" s="93"/>
    </row>
    <row r="321" spans="3:14">
      <c r="C321" s="62"/>
      <c r="D321" s="62"/>
      <c r="E321" s="62"/>
      <c r="F321" s="62"/>
      <c r="G321" s="62"/>
      <c r="H321" s="62"/>
      <c r="I321" s="62"/>
      <c r="J321" s="62"/>
      <c r="K321" s="62"/>
      <c r="L321" s="62"/>
      <c r="M321" s="62"/>
      <c r="N321" s="62"/>
    </row>
  </sheetData>
  <mergeCells count="48">
    <mergeCell ref="A288:A290"/>
    <mergeCell ref="B288:C290"/>
    <mergeCell ref="N292:N294"/>
    <mergeCell ref="C316:N316"/>
    <mergeCell ref="C281:N281"/>
    <mergeCell ref="N216:N218"/>
    <mergeCell ref="C278:N278"/>
    <mergeCell ref="C279:N280"/>
    <mergeCell ref="C321:N321"/>
    <mergeCell ref="C317:N320"/>
    <mergeCell ref="C243:N243"/>
    <mergeCell ref="C240:N240"/>
    <mergeCell ref="C241:N242"/>
    <mergeCell ref="N254:N256"/>
    <mergeCell ref="C203:N204"/>
    <mergeCell ref="C205:N205"/>
    <mergeCell ref="A212:A214"/>
    <mergeCell ref="N178:N180"/>
    <mergeCell ref="B174:C176"/>
    <mergeCell ref="B212:C214"/>
    <mergeCell ref="B134:C136"/>
    <mergeCell ref="C162:N162"/>
    <mergeCell ref="C163:N166"/>
    <mergeCell ref="A174:A176"/>
    <mergeCell ref="C202:N202"/>
    <mergeCell ref="N99:N101"/>
    <mergeCell ref="N138:N140"/>
    <mergeCell ref="N23:N25"/>
    <mergeCell ref="N61:N63"/>
    <mergeCell ref="A250:A252"/>
    <mergeCell ref="B250:C252"/>
    <mergeCell ref="C167:N167"/>
    <mergeCell ref="A95:A97"/>
    <mergeCell ref="B95:C97"/>
    <mergeCell ref="C123:N123"/>
    <mergeCell ref="C124:N126"/>
    <mergeCell ref="C88:N88"/>
    <mergeCell ref="C85:N85"/>
    <mergeCell ref="C86:N87"/>
    <mergeCell ref="C127:N127"/>
    <mergeCell ref="A134:A136"/>
    <mergeCell ref="A19:A21"/>
    <mergeCell ref="B19:C21"/>
    <mergeCell ref="C47:N47"/>
    <mergeCell ref="C51:N51"/>
    <mergeCell ref="A57:A59"/>
    <mergeCell ref="B57:C59"/>
    <mergeCell ref="C48:N50"/>
  </mergeCells>
  <phoneticPr fontId="1" type="noConversion"/>
  <conditionalFormatting sqref="D23:M24">
    <cfRule type="dataBar" priority="65">
      <dataBar>
        <cfvo type="min"/>
        <cfvo type="max"/>
        <color rgb="FF638EC6"/>
      </dataBar>
      <extLst>
        <ext xmlns:x14="http://schemas.microsoft.com/office/spreadsheetml/2009/9/main" uri="{B025F937-C7B1-47D3-B67F-A62EFF666E3E}">
          <x14:id>{76CF709C-F06E-45C6-8BFD-FE3B0C483DA5}</x14:id>
        </ext>
      </extLst>
    </cfRule>
  </conditionalFormatting>
  <conditionalFormatting sqref="N23">
    <cfRule type="containsText" dxfId="31" priority="80" operator="containsText" text="差">
      <formula>NOT(ISERROR(SEARCH("差",N23)))</formula>
    </cfRule>
    <cfRule type="containsText" dxfId="30" priority="81" operator="containsText" text="优">
      <formula>NOT(ISERROR(SEARCH("优",N23)))</formula>
    </cfRule>
  </conditionalFormatting>
  <conditionalFormatting sqref="D61:M62">
    <cfRule type="dataBar" priority="62">
      <dataBar>
        <cfvo type="min"/>
        <cfvo type="max"/>
        <color rgb="FF638EC6"/>
      </dataBar>
      <extLst>
        <ext xmlns:x14="http://schemas.microsoft.com/office/spreadsheetml/2009/9/main" uri="{B025F937-C7B1-47D3-B67F-A62EFF666E3E}">
          <x14:id>{73C00435-938C-4F0D-A1E1-74C1C5FFE764}</x14:id>
        </ext>
      </extLst>
    </cfRule>
  </conditionalFormatting>
  <conditionalFormatting sqref="N61">
    <cfRule type="containsText" dxfId="29" priority="63" operator="containsText" text="差">
      <formula>NOT(ISERROR(SEARCH("差",N61)))</formula>
    </cfRule>
    <cfRule type="containsText" dxfId="28" priority="64" operator="containsText" text="优">
      <formula>NOT(ISERROR(SEARCH("优",N61)))</formula>
    </cfRule>
  </conditionalFormatting>
  <conditionalFormatting sqref="D25:M25">
    <cfRule type="dataBar" priority="59">
      <dataBar>
        <cfvo type="min"/>
        <cfvo type="max"/>
        <color rgb="FF638EC6"/>
      </dataBar>
      <extLst>
        <ext xmlns:x14="http://schemas.microsoft.com/office/spreadsheetml/2009/9/main" uri="{B025F937-C7B1-47D3-B67F-A62EFF666E3E}">
          <x14:id>{295DAA11-DF46-454B-83E3-B36D91D4B009}</x14:id>
        </ext>
      </extLst>
    </cfRule>
  </conditionalFormatting>
  <conditionalFormatting sqref="D63:M63">
    <cfRule type="dataBar" priority="58">
      <dataBar>
        <cfvo type="min"/>
        <cfvo type="max"/>
        <color rgb="FF638EC6"/>
      </dataBar>
      <extLst>
        <ext xmlns:x14="http://schemas.microsoft.com/office/spreadsheetml/2009/9/main" uri="{B025F937-C7B1-47D3-B67F-A62EFF666E3E}">
          <x14:id>{D7D04250-0450-4B50-BECA-D3979722DCC1}</x14:id>
        </ext>
      </extLst>
    </cfRule>
  </conditionalFormatting>
  <conditionalFormatting sqref="D61:M63">
    <cfRule type="dataBar" priority="57">
      <dataBar>
        <cfvo type="min"/>
        <cfvo type="max"/>
        <color rgb="FF638EC6"/>
      </dataBar>
      <extLst>
        <ext xmlns:x14="http://schemas.microsoft.com/office/spreadsheetml/2009/9/main" uri="{B025F937-C7B1-47D3-B67F-A62EFF666E3E}">
          <x14:id>{4AA5880F-113A-4905-BFB1-4CA19133903A}</x14:id>
        </ext>
      </extLst>
    </cfRule>
  </conditionalFormatting>
  <conditionalFormatting sqref="D23:M25">
    <cfRule type="dataBar" priority="56">
      <dataBar>
        <cfvo type="min"/>
        <cfvo type="max"/>
        <color rgb="FF638EC6"/>
      </dataBar>
      <extLst>
        <ext xmlns:x14="http://schemas.microsoft.com/office/spreadsheetml/2009/9/main" uri="{B025F937-C7B1-47D3-B67F-A62EFF666E3E}">
          <x14:id>{1EE65145-652A-4455-9008-BCE6FF3A7F7C}</x14:id>
        </ext>
      </extLst>
    </cfRule>
  </conditionalFormatting>
  <conditionalFormatting sqref="N99">
    <cfRule type="containsText" dxfId="27" priority="48" operator="containsText" text="差">
      <formula>NOT(ISERROR(SEARCH("差",N99)))</formula>
    </cfRule>
    <cfRule type="containsText" dxfId="26" priority="49" operator="containsText" text="优">
      <formula>NOT(ISERROR(SEARCH("优",N99)))</formula>
    </cfRule>
  </conditionalFormatting>
  <conditionalFormatting sqref="D99:M100">
    <cfRule type="dataBar" priority="44">
      <dataBar>
        <cfvo type="min"/>
        <cfvo type="max"/>
        <color rgb="FF638EC6"/>
      </dataBar>
      <extLst>
        <ext xmlns:x14="http://schemas.microsoft.com/office/spreadsheetml/2009/9/main" uri="{B025F937-C7B1-47D3-B67F-A62EFF666E3E}">
          <x14:id>{7D2379C1-6AEA-43C4-8E1D-42CC0C33DB04}</x14:id>
        </ext>
      </extLst>
    </cfRule>
  </conditionalFormatting>
  <conditionalFormatting sqref="D101:M101">
    <cfRule type="dataBar" priority="43">
      <dataBar>
        <cfvo type="min"/>
        <cfvo type="max"/>
        <color rgb="FF638EC6"/>
      </dataBar>
      <extLst>
        <ext xmlns:x14="http://schemas.microsoft.com/office/spreadsheetml/2009/9/main" uri="{B025F937-C7B1-47D3-B67F-A62EFF666E3E}">
          <x14:id>{8EF0A09F-BA6A-4F7E-86E1-633D61CC9112}</x14:id>
        </ext>
      </extLst>
    </cfRule>
  </conditionalFormatting>
  <conditionalFormatting sqref="D99:M101">
    <cfRule type="dataBar" priority="42">
      <dataBar>
        <cfvo type="min"/>
        <cfvo type="max"/>
        <color rgb="FF638EC6"/>
      </dataBar>
      <extLst>
        <ext xmlns:x14="http://schemas.microsoft.com/office/spreadsheetml/2009/9/main" uri="{B025F937-C7B1-47D3-B67F-A62EFF666E3E}">
          <x14:id>{9D608159-4BFD-4BD7-8F5C-A5464A88194B}</x14:id>
        </ext>
      </extLst>
    </cfRule>
  </conditionalFormatting>
  <conditionalFormatting sqref="N138">
    <cfRule type="containsText" dxfId="25" priority="40" operator="containsText" text="差">
      <formula>NOT(ISERROR(SEARCH("差",N138)))</formula>
    </cfRule>
    <cfRule type="containsText" dxfId="24" priority="41" operator="containsText" text="优">
      <formula>NOT(ISERROR(SEARCH("优",N138)))</formula>
    </cfRule>
  </conditionalFormatting>
  <conditionalFormatting sqref="D138:M139">
    <cfRule type="dataBar" priority="39">
      <dataBar>
        <cfvo type="min"/>
        <cfvo type="max"/>
        <color rgb="FF638EC6"/>
      </dataBar>
      <extLst>
        <ext xmlns:x14="http://schemas.microsoft.com/office/spreadsheetml/2009/9/main" uri="{B025F937-C7B1-47D3-B67F-A62EFF666E3E}">
          <x14:id>{7D7ADB5E-F7EA-47EF-A83C-D19139155F40}</x14:id>
        </ext>
      </extLst>
    </cfRule>
  </conditionalFormatting>
  <conditionalFormatting sqref="D140:M140">
    <cfRule type="dataBar" priority="38">
      <dataBar>
        <cfvo type="min"/>
        <cfvo type="max"/>
        <color rgb="FF638EC6"/>
      </dataBar>
      <extLst>
        <ext xmlns:x14="http://schemas.microsoft.com/office/spreadsheetml/2009/9/main" uri="{B025F937-C7B1-47D3-B67F-A62EFF666E3E}">
          <x14:id>{D5ED9134-5633-416A-ABF0-88940A898605}</x14:id>
        </ext>
      </extLst>
    </cfRule>
  </conditionalFormatting>
  <conditionalFormatting sqref="D138:M140">
    <cfRule type="dataBar" priority="37">
      <dataBar>
        <cfvo type="min"/>
        <cfvo type="max"/>
        <color rgb="FF638EC6"/>
      </dataBar>
      <extLst>
        <ext xmlns:x14="http://schemas.microsoft.com/office/spreadsheetml/2009/9/main" uri="{B025F937-C7B1-47D3-B67F-A62EFF666E3E}">
          <x14:id>{9C843C54-6224-4F66-817B-74A84428829A}</x14:id>
        </ext>
      </extLst>
    </cfRule>
  </conditionalFormatting>
  <conditionalFormatting sqref="D178:M179">
    <cfRule type="dataBar" priority="34">
      <dataBar>
        <cfvo type="min"/>
        <cfvo type="max"/>
        <color rgb="FF638EC6"/>
      </dataBar>
      <extLst>
        <ext xmlns:x14="http://schemas.microsoft.com/office/spreadsheetml/2009/9/main" uri="{B025F937-C7B1-47D3-B67F-A62EFF666E3E}">
          <x14:id>{CBEEF08C-46E0-4EB9-83C1-FC2598B57851}</x14:id>
        </ext>
      </extLst>
    </cfRule>
  </conditionalFormatting>
  <conditionalFormatting sqref="D180:M180">
    <cfRule type="dataBar" priority="33">
      <dataBar>
        <cfvo type="min"/>
        <cfvo type="max"/>
        <color rgb="FF638EC6"/>
      </dataBar>
      <extLst>
        <ext xmlns:x14="http://schemas.microsoft.com/office/spreadsheetml/2009/9/main" uri="{B025F937-C7B1-47D3-B67F-A62EFF666E3E}">
          <x14:id>{C3B14097-28D3-46A4-AA0E-ABDA4CBA3E67}</x14:id>
        </ext>
      </extLst>
    </cfRule>
  </conditionalFormatting>
  <conditionalFormatting sqref="D178:M180">
    <cfRule type="dataBar" priority="32">
      <dataBar>
        <cfvo type="min"/>
        <cfvo type="max"/>
        <color rgb="FF638EC6"/>
      </dataBar>
      <extLst>
        <ext xmlns:x14="http://schemas.microsoft.com/office/spreadsheetml/2009/9/main" uri="{B025F937-C7B1-47D3-B67F-A62EFF666E3E}">
          <x14:id>{6AB24C3A-D9C8-4042-9329-60016375F160}</x14:id>
        </ext>
      </extLst>
    </cfRule>
  </conditionalFormatting>
  <conditionalFormatting sqref="N178">
    <cfRule type="containsText" dxfId="23" priority="28" operator="containsText" text="差">
      <formula>NOT(ISERROR(SEARCH("差",N178)))</formula>
    </cfRule>
    <cfRule type="containsText" dxfId="22" priority="29" operator="containsText" text="优">
      <formula>NOT(ISERROR(SEARCH("优",N178)))</formula>
    </cfRule>
  </conditionalFormatting>
  <conditionalFormatting sqref="D216:M217">
    <cfRule type="dataBar" priority="27">
      <dataBar>
        <cfvo type="min"/>
        <cfvo type="max"/>
        <color rgb="FF638EC6"/>
      </dataBar>
      <extLst>
        <ext xmlns:x14="http://schemas.microsoft.com/office/spreadsheetml/2009/9/main" uri="{B025F937-C7B1-47D3-B67F-A62EFF666E3E}">
          <x14:id>{59BACD74-8AAA-4A62-8EBB-E61BBED85094}</x14:id>
        </ext>
      </extLst>
    </cfRule>
  </conditionalFormatting>
  <conditionalFormatting sqref="D218:M218">
    <cfRule type="dataBar" priority="26">
      <dataBar>
        <cfvo type="min"/>
        <cfvo type="max"/>
        <color rgb="FF638EC6"/>
      </dataBar>
      <extLst>
        <ext xmlns:x14="http://schemas.microsoft.com/office/spreadsheetml/2009/9/main" uri="{B025F937-C7B1-47D3-B67F-A62EFF666E3E}">
          <x14:id>{F0D71F6F-D9C7-4F47-9813-1F6547CBBC91}</x14:id>
        </ext>
      </extLst>
    </cfRule>
  </conditionalFormatting>
  <conditionalFormatting sqref="D216:M218">
    <cfRule type="dataBar" priority="25">
      <dataBar>
        <cfvo type="min"/>
        <cfvo type="max"/>
        <color rgb="FF638EC6"/>
      </dataBar>
      <extLst>
        <ext xmlns:x14="http://schemas.microsoft.com/office/spreadsheetml/2009/9/main" uri="{B025F937-C7B1-47D3-B67F-A62EFF666E3E}">
          <x14:id>{24484D38-905F-4775-9F74-4D0446AD56F9}</x14:id>
        </ext>
      </extLst>
    </cfRule>
  </conditionalFormatting>
  <conditionalFormatting sqref="N216">
    <cfRule type="containsText" dxfId="21" priority="21" operator="containsText" text="差">
      <formula>NOT(ISERROR(SEARCH("差",N216)))</formula>
    </cfRule>
    <cfRule type="containsText" dxfId="20" priority="22" operator="containsText" text="优">
      <formula>NOT(ISERROR(SEARCH("优",N216)))</formula>
    </cfRule>
  </conditionalFormatting>
  <conditionalFormatting sqref="N254">
    <cfRule type="containsText" dxfId="19" priority="6" operator="containsText" text="差">
      <formula>NOT(ISERROR(SEARCH("差",N254)))</formula>
    </cfRule>
    <cfRule type="containsText" dxfId="18" priority="7" operator="containsText" text="优">
      <formula>NOT(ISERROR(SEARCH("优",N254)))</formula>
    </cfRule>
  </conditionalFormatting>
  <conditionalFormatting sqref="N292">
    <cfRule type="containsText" dxfId="17" priority="1" operator="containsText" text="差">
      <formula>NOT(ISERROR(SEARCH("差",N292)))</formula>
    </cfRule>
    <cfRule type="containsText" dxfId="16" priority="2" operator="containsText" text="优">
      <formula>NOT(ISERROR(SEARCH("优",N292)))</formula>
    </cfRule>
  </conditionalFormatting>
  <conditionalFormatting sqref="D254:M256">
    <cfRule type="dataBar" priority="10">
      <dataBar>
        <cfvo type="min"/>
        <cfvo type="max"/>
        <color rgb="FF638EC6"/>
      </dataBar>
      <extLst>
        <ext xmlns:x14="http://schemas.microsoft.com/office/spreadsheetml/2009/9/main" uri="{B025F937-C7B1-47D3-B67F-A62EFF666E3E}">
          <x14:id>{89B44958-DF12-4DE3-BBCF-F6242D06D963}</x14:id>
        </ext>
      </extLst>
    </cfRule>
  </conditionalFormatting>
  <conditionalFormatting sqref="D256:M256">
    <cfRule type="dataBar" priority="9">
      <dataBar>
        <cfvo type="min"/>
        <cfvo type="max"/>
        <color rgb="FF638EC6"/>
      </dataBar>
      <extLst>
        <ext xmlns:x14="http://schemas.microsoft.com/office/spreadsheetml/2009/9/main" uri="{B025F937-C7B1-47D3-B67F-A62EFF666E3E}">
          <x14:id>{08F70E12-6219-4FAD-8CD0-B23D9110E3FD}</x14:id>
        </ext>
      </extLst>
    </cfRule>
  </conditionalFormatting>
  <conditionalFormatting sqref="D254:M256">
    <cfRule type="dataBar" priority="8">
      <dataBar>
        <cfvo type="min"/>
        <cfvo type="max"/>
        <color rgb="FF638EC6"/>
      </dataBar>
      <extLst>
        <ext xmlns:x14="http://schemas.microsoft.com/office/spreadsheetml/2009/9/main" uri="{B025F937-C7B1-47D3-B67F-A62EFF666E3E}">
          <x14:id>{9C07FE6D-1FE1-4741-B763-9789F3C9C64D}</x14:id>
        </ext>
      </extLst>
    </cfRule>
  </conditionalFormatting>
  <conditionalFormatting sqref="D292:M294">
    <cfRule type="dataBar" priority="5">
      <dataBar>
        <cfvo type="min"/>
        <cfvo type="max"/>
        <color rgb="FF638EC6"/>
      </dataBar>
      <extLst>
        <ext xmlns:x14="http://schemas.microsoft.com/office/spreadsheetml/2009/9/main" uri="{B025F937-C7B1-47D3-B67F-A62EFF666E3E}">
          <x14:id>{790B9CB1-63DE-46E4-B3F3-3120CFB7E588}</x14:id>
        </ext>
      </extLst>
    </cfRule>
  </conditionalFormatting>
  <conditionalFormatting sqref="D294:M294">
    <cfRule type="dataBar" priority="4">
      <dataBar>
        <cfvo type="min"/>
        <cfvo type="max"/>
        <color rgb="FF638EC6"/>
      </dataBar>
      <extLst>
        <ext xmlns:x14="http://schemas.microsoft.com/office/spreadsheetml/2009/9/main" uri="{B025F937-C7B1-47D3-B67F-A62EFF666E3E}">
          <x14:id>{1D5831B4-413C-45D9-ACC6-477067AA22EF}</x14:id>
        </ext>
      </extLst>
    </cfRule>
  </conditionalFormatting>
  <conditionalFormatting sqref="D292:M294">
    <cfRule type="dataBar" priority="3">
      <dataBar>
        <cfvo type="min"/>
        <cfvo type="max"/>
        <color rgb="FF638EC6"/>
      </dataBar>
      <extLst>
        <ext xmlns:x14="http://schemas.microsoft.com/office/spreadsheetml/2009/9/main" uri="{B025F937-C7B1-47D3-B67F-A62EFF666E3E}">
          <x14:id>{CFB857F9-75A0-4943-A404-D59D7ACB6FA2}</x14:id>
        </ext>
      </extLst>
    </cfRule>
  </conditionalFormatting>
  <hyperlinks>
    <hyperlink ref="B1" location="数据速览!A2" display="数据速览" xr:uid="{00000000-0004-0000-0300-000000000000}"/>
    <hyperlink ref="C1" location="偿债能力!A2" display="偿债能力" xr:uid="{00000000-0004-0000-0300-000001000000}"/>
    <hyperlink ref="D1" location="营运能力!A2" display="营运能力" xr:uid="{00000000-0004-0000-0300-000002000000}"/>
    <hyperlink ref="E1" location="盈利能力!A2" display="盈利能力" xr:uid="{00000000-0004-0000-0300-000003000000}"/>
    <hyperlink ref="A1" location="首页!A2" display="首页" xr:uid="{00000000-0004-0000-0300-000004000000}"/>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76CF709C-F06E-45C6-8BFD-FE3B0C483DA5}">
            <x14:dataBar minLength="0" maxLength="100" negativeBarColorSameAsPositive="1" axisPosition="none">
              <x14:cfvo type="min"/>
              <x14:cfvo type="max"/>
            </x14:dataBar>
          </x14:cfRule>
          <xm:sqref>D23:M24</xm:sqref>
        </x14:conditionalFormatting>
        <x14:conditionalFormatting xmlns:xm="http://schemas.microsoft.com/office/excel/2006/main">
          <x14:cfRule type="dataBar" id="{73C00435-938C-4F0D-A1E1-74C1C5FFE764}">
            <x14:dataBar minLength="0" maxLength="100" negativeBarColorSameAsPositive="1" axisPosition="none">
              <x14:cfvo type="min"/>
              <x14:cfvo type="max"/>
            </x14:dataBar>
          </x14:cfRule>
          <xm:sqref>D61:M62</xm:sqref>
        </x14:conditionalFormatting>
        <x14:conditionalFormatting xmlns:xm="http://schemas.microsoft.com/office/excel/2006/main">
          <x14:cfRule type="dataBar" id="{295DAA11-DF46-454B-83E3-B36D91D4B009}">
            <x14:dataBar minLength="0" maxLength="100" negativeBarColorSameAsPositive="1" axisPosition="none">
              <x14:cfvo type="min"/>
              <x14:cfvo type="max"/>
            </x14:dataBar>
          </x14:cfRule>
          <xm:sqref>D25:M25</xm:sqref>
        </x14:conditionalFormatting>
        <x14:conditionalFormatting xmlns:xm="http://schemas.microsoft.com/office/excel/2006/main">
          <x14:cfRule type="dataBar" id="{D7D04250-0450-4B50-BECA-D3979722DCC1}">
            <x14:dataBar minLength="0" maxLength="100" negativeBarColorSameAsPositive="1" axisPosition="none">
              <x14:cfvo type="min"/>
              <x14:cfvo type="max"/>
            </x14:dataBar>
          </x14:cfRule>
          <xm:sqref>D63:M63</xm:sqref>
        </x14:conditionalFormatting>
        <x14:conditionalFormatting xmlns:xm="http://schemas.microsoft.com/office/excel/2006/main">
          <x14:cfRule type="dataBar" id="{4AA5880F-113A-4905-BFB1-4CA19133903A}">
            <x14:dataBar minLength="0" maxLength="100" negativeBarColorSameAsPositive="1" axisPosition="none">
              <x14:cfvo type="min"/>
              <x14:cfvo type="max"/>
            </x14:dataBar>
          </x14:cfRule>
          <xm:sqref>D61:M63</xm:sqref>
        </x14:conditionalFormatting>
        <x14:conditionalFormatting xmlns:xm="http://schemas.microsoft.com/office/excel/2006/main">
          <x14:cfRule type="dataBar" id="{1EE65145-652A-4455-9008-BCE6FF3A7F7C}">
            <x14:dataBar minLength="0" maxLength="100" negativeBarColorSameAsPositive="1" axisPosition="none">
              <x14:cfvo type="min"/>
              <x14:cfvo type="max"/>
            </x14:dataBar>
          </x14:cfRule>
          <xm:sqref>D23:M25</xm:sqref>
        </x14:conditionalFormatting>
        <x14:conditionalFormatting xmlns:xm="http://schemas.microsoft.com/office/excel/2006/main">
          <x14:cfRule type="dataBar" id="{7D2379C1-6AEA-43C4-8E1D-42CC0C33DB04}">
            <x14:dataBar minLength="0" maxLength="100" negativeBarColorSameAsPositive="1" axisPosition="none">
              <x14:cfvo type="min"/>
              <x14:cfvo type="max"/>
            </x14:dataBar>
          </x14:cfRule>
          <xm:sqref>D99:M100</xm:sqref>
        </x14:conditionalFormatting>
        <x14:conditionalFormatting xmlns:xm="http://schemas.microsoft.com/office/excel/2006/main">
          <x14:cfRule type="dataBar" id="{8EF0A09F-BA6A-4F7E-86E1-633D61CC9112}">
            <x14:dataBar minLength="0" maxLength="100" negativeBarColorSameAsPositive="1" axisPosition="none">
              <x14:cfvo type="min"/>
              <x14:cfvo type="max"/>
            </x14:dataBar>
          </x14:cfRule>
          <xm:sqref>D101:M101</xm:sqref>
        </x14:conditionalFormatting>
        <x14:conditionalFormatting xmlns:xm="http://schemas.microsoft.com/office/excel/2006/main">
          <x14:cfRule type="dataBar" id="{9D608159-4BFD-4BD7-8F5C-A5464A88194B}">
            <x14:dataBar minLength="0" maxLength="100" negativeBarColorSameAsPositive="1" axisPosition="none">
              <x14:cfvo type="min"/>
              <x14:cfvo type="max"/>
            </x14:dataBar>
          </x14:cfRule>
          <xm:sqref>D99:M101</xm:sqref>
        </x14:conditionalFormatting>
        <x14:conditionalFormatting xmlns:xm="http://schemas.microsoft.com/office/excel/2006/main">
          <x14:cfRule type="dataBar" id="{7D7ADB5E-F7EA-47EF-A83C-D19139155F40}">
            <x14:dataBar minLength="0" maxLength="100" negativeBarColorSameAsPositive="1" axisPosition="none">
              <x14:cfvo type="min"/>
              <x14:cfvo type="max"/>
            </x14:dataBar>
          </x14:cfRule>
          <xm:sqref>D138:M139</xm:sqref>
        </x14:conditionalFormatting>
        <x14:conditionalFormatting xmlns:xm="http://schemas.microsoft.com/office/excel/2006/main">
          <x14:cfRule type="dataBar" id="{D5ED9134-5633-416A-ABF0-88940A898605}">
            <x14:dataBar minLength="0" maxLength="100" negativeBarColorSameAsPositive="1" axisPosition="none">
              <x14:cfvo type="min"/>
              <x14:cfvo type="max"/>
            </x14:dataBar>
          </x14:cfRule>
          <xm:sqref>D140:M140</xm:sqref>
        </x14:conditionalFormatting>
        <x14:conditionalFormatting xmlns:xm="http://schemas.microsoft.com/office/excel/2006/main">
          <x14:cfRule type="dataBar" id="{9C843C54-6224-4F66-817B-74A84428829A}">
            <x14:dataBar minLength="0" maxLength="100" negativeBarColorSameAsPositive="1" axisPosition="none">
              <x14:cfvo type="min"/>
              <x14:cfvo type="max"/>
            </x14:dataBar>
          </x14:cfRule>
          <xm:sqref>D138:M140</xm:sqref>
        </x14:conditionalFormatting>
        <x14:conditionalFormatting xmlns:xm="http://schemas.microsoft.com/office/excel/2006/main">
          <x14:cfRule type="dataBar" id="{CBEEF08C-46E0-4EB9-83C1-FC2598B57851}">
            <x14:dataBar minLength="0" maxLength="100" negativeBarColorSameAsPositive="1" axisPosition="none">
              <x14:cfvo type="min"/>
              <x14:cfvo type="max"/>
            </x14:dataBar>
          </x14:cfRule>
          <xm:sqref>D178:M179</xm:sqref>
        </x14:conditionalFormatting>
        <x14:conditionalFormatting xmlns:xm="http://schemas.microsoft.com/office/excel/2006/main">
          <x14:cfRule type="dataBar" id="{C3B14097-28D3-46A4-AA0E-ABDA4CBA3E67}">
            <x14:dataBar minLength="0" maxLength="100" negativeBarColorSameAsPositive="1" axisPosition="none">
              <x14:cfvo type="min"/>
              <x14:cfvo type="max"/>
            </x14:dataBar>
          </x14:cfRule>
          <xm:sqref>D180:M180</xm:sqref>
        </x14:conditionalFormatting>
        <x14:conditionalFormatting xmlns:xm="http://schemas.microsoft.com/office/excel/2006/main">
          <x14:cfRule type="dataBar" id="{6AB24C3A-D9C8-4042-9329-60016375F160}">
            <x14:dataBar minLength="0" maxLength="100" negativeBarColorSameAsPositive="1" axisPosition="none">
              <x14:cfvo type="min"/>
              <x14:cfvo type="max"/>
            </x14:dataBar>
          </x14:cfRule>
          <xm:sqref>D178:M180</xm:sqref>
        </x14:conditionalFormatting>
        <x14:conditionalFormatting xmlns:xm="http://schemas.microsoft.com/office/excel/2006/main">
          <x14:cfRule type="dataBar" id="{59BACD74-8AAA-4A62-8EBB-E61BBED85094}">
            <x14:dataBar minLength="0" maxLength="100" negativeBarColorSameAsPositive="1" axisPosition="none">
              <x14:cfvo type="min"/>
              <x14:cfvo type="max"/>
            </x14:dataBar>
          </x14:cfRule>
          <xm:sqref>D216:M217</xm:sqref>
        </x14:conditionalFormatting>
        <x14:conditionalFormatting xmlns:xm="http://schemas.microsoft.com/office/excel/2006/main">
          <x14:cfRule type="dataBar" id="{F0D71F6F-D9C7-4F47-9813-1F6547CBBC91}">
            <x14:dataBar minLength="0" maxLength="100" negativeBarColorSameAsPositive="1" axisPosition="none">
              <x14:cfvo type="min"/>
              <x14:cfvo type="max"/>
            </x14:dataBar>
          </x14:cfRule>
          <xm:sqref>D218:M218</xm:sqref>
        </x14:conditionalFormatting>
        <x14:conditionalFormatting xmlns:xm="http://schemas.microsoft.com/office/excel/2006/main">
          <x14:cfRule type="dataBar" id="{24484D38-905F-4775-9F74-4D0446AD56F9}">
            <x14:dataBar minLength="0" maxLength="100" negativeBarColorSameAsPositive="1" axisPosition="none">
              <x14:cfvo type="min"/>
              <x14:cfvo type="max"/>
            </x14:dataBar>
          </x14:cfRule>
          <xm:sqref>D216:M218</xm:sqref>
        </x14:conditionalFormatting>
        <x14:conditionalFormatting xmlns:xm="http://schemas.microsoft.com/office/excel/2006/main">
          <x14:cfRule type="dataBar" id="{89B44958-DF12-4DE3-BBCF-F6242D06D963}">
            <x14:dataBar minLength="0" maxLength="100" negativeBarColorSameAsPositive="1" axisPosition="none">
              <x14:cfvo type="min"/>
              <x14:cfvo type="max"/>
            </x14:dataBar>
          </x14:cfRule>
          <xm:sqref>D254:M256</xm:sqref>
        </x14:conditionalFormatting>
        <x14:conditionalFormatting xmlns:xm="http://schemas.microsoft.com/office/excel/2006/main">
          <x14:cfRule type="dataBar" id="{08F70E12-6219-4FAD-8CD0-B23D9110E3FD}">
            <x14:dataBar minLength="0" maxLength="100" negativeBarColorSameAsPositive="1" axisPosition="none">
              <x14:cfvo type="min"/>
              <x14:cfvo type="max"/>
            </x14:dataBar>
          </x14:cfRule>
          <xm:sqref>D256:M256</xm:sqref>
        </x14:conditionalFormatting>
        <x14:conditionalFormatting xmlns:xm="http://schemas.microsoft.com/office/excel/2006/main">
          <x14:cfRule type="dataBar" id="{9C07FE6D-1FE1-4741-B763-9789F3C9C64D}">
            <x14:dataBar minLength="0" maxLength="100" negativeBarColorSameAsPositive="1" axisPosition="none">
              <x14:cfvo type="min"/>
              <x14:cfvo type="max"/>
            </x14:dataBar>
          </x14:cfRule>
          <xm:sqref>D254:M256</xm:sqref>
        </x14:conditionalFormatting>
        <x14:conditionalFormatting xmlns:xm="http://schemas.microsoft.com/office/excel/2006/main">
          <x14:cfRule type="dataBar" id="{790B9CB1-63DE-46E4-B3F3-3120CFB7E588}">
            <x14:dataBar minLength="0" maxLength="100" negativeBarColorSameAsPositive="1" axisPosition="none">
              <x14:cfvo type="min"/>
              <x14:cfvo type="max"/>
            </x14:dataBar>
          </x14:cfRule>
          <xm:sqref>D292:M294</xm:sqref>
        </x14:conditionalFormatting>
        <x14:conditionalFormatting xmlns:xm="http://schemas.microsoft.com/office/excel/2006/main">
          <x14:cfRule type="dataBar" id="{1D5831B4-413C-45D9-ACC6-477067AA22EF}">
            <x14:dataBar minLength="0" maxLength="100" negativeBarColorSameAsPositive="1" axisPosition="none">
              <x14:cfvo type="min"/>
              <x14:cfvo type="max"/>
            </x14:dataBar>
          </x14:cfRule>
          <xm:sqref>D294:M294</xm:sqref>
        </x14:conditionalFormatting>
        <x14:conditionalFormatting xmlns:xm="http://schemas.microsoft.com/office/excel/2006/main">
          <x14:cfRule type="dataBar" id="{CFB857F9-75A0-4943-A404-D59D7ACB6FA2}">
            <x14:dataBar minLength="0" maxLength="100" negativeBarColorSameAsPositive="1" axisPosition="none">
              <x14:cfvo type="min"/>
              <x14:cfvo type="max"/>
            </x14:dataBar>
          </x14:cfRule>
          <xm:sqref>D292:M294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9" tint="-0.249977111117893"/>
  </sheetPr>
  <dimension ref="A1:IV321"/>
  <sheetViews>
    <sheetView showGridLines="0" zoomScale="85" zoomScaleNormal="85" workbookViewId="0">
      <pane ySplit="1" topLeftCell="A2" activePane="bottomLeft" state="frozen"/>
      <selection pane="bottomLeft" activeCell="A3" sqref="A3"/>
    </sheetView>
  </sheetViews>
  <sheetFormatPr defaultColWidth="11.625" defaultRowHeight="14.35"/>
  <cols>
    <col min="1" max="2" width="9" customWidth="1"/>
    <col min="3" max="14" width="11.625" bestFit="1" customWidth="1"/>
    <col min="15" max="15" width="11.625" style="39" bestFit="1" customWidth="1"/>
  </cols>
  <sheetData>
    <row r="1" spans="1:256" s="38" customFormat="1">
      <c r="A1" s="36" t="s">
        <v>200</v>
      </c>
      <c r="B1" s="37" t="s">
        <v>190</v>
      </c>
      <c r="C1" s="37" t="s">
        <v>192</v>
      </c>
      <c r="D1" s="37" t="s">
        <v>193</v>
      </c>
      <c r="E1" s="37" t="s">
        <v>194</v>
      </c>
      <c r="O1" s="44"/>
    </row>
    <row r="2" spans="1:256" ht="13.5" customHeight="1">
      <c r="E2" s="4"/>
      <c r="F2" s="4"/>
      <c r="G2" s="4"/>
      <c r="H2" s="4"/>
      <c r="I2" s="4"/>
      <c r="J2" s="4"/>
      <c r="K2" s="4"/>
      <c r="L2" s="4"/>
    </row>
    <row r="3" spans="1:256" ht="13.5" customHeight="1">
      <c r="E3" s="4"/>
      <c r="F3" s="4"/>
      <c r="G3" s="4"/>
      <c r="H3" s="4"/>
      <c r="I3" s="4"/>
      <c r="J3" s="4"/>
      <c r="K3" s="4"/>
      <c r="L3" s="4"/>
    </row>
    <row r="4" spans="1:256" ht="13.5" customHeight="1">
      <c r="E4" s="4"/>
      <c r="F4" s="4"/>
      <c r="G4" s="4"/>
      <c r="H4" s="4"/>
      <c r="I4" s="4"/>
      <c r="J4" s="4"/>
      <c r="K4" s="4"/>
      <c r="L4" s="4"/>
    </row>
    <row r="5" spans="1:256" ht="13.5" customHeight="1">
      <c r="E5" s="4"/>
      <c r="F5" s="4"/>
      <c r="G5" s="4"/>
      <c r="H5" s="4"/>
      <c r="I5" s="4"/>
      <c r="J5" s="4"/>
      <c r="K5" s="4"/>
      <c r="L5" s="4"/>
    </row>
    <row r="7" spans="1:256" s="39" customFormat="1"/>
    <row r="8" spans="1:256" s="39" customFormat="1">
      <c r="C8" s="39" t="s">
        <v>0</v>
      </c>
      <c r="D8" s="39" t="s">
        <v>8</v>
      </c>
      <c r="E8" s="39" t="s">
        <v>2</v>
      </c>
      <c r="F8" s="39" t="s">
        <v>14</v>
      </c>
      <c r="G8" s="39" t="s">
        <v>15</v>
      </c>
      <c r="H8" s="41" t="s">
        <v>130</v>
      </c>
    </row>
    <row r="9" spans="1:256" s="39" customFormat="1">
      <c r="C9" s="39" t="str">
        <f>首页!G17</f>
        <v>600519.sh</v>
      </c>
      <c r="D9" s="39" t="str">
        <f>[1]!EM_S_INFO_NAME(C9)</f>
        <v>贵州茅台</v>
      </c>
      <c r="E9" s="39" t="str">
        <f>[1]!EM_S_IPO_LISTEDDATE(C9)</f>
        <v>2001-08-27</v>
      </c>
      <c r="F9" s="39" t="str">
        <f>[1]!EM_S_INFO_INDUSTRY_EM2016(C9,"2")</f>
        <v>饮料</v>
      </c>
      <c r="G9" s="39" t="str">
        <f>VLOOKUP(F9,其他!A:B,2,FALSE)</f>
        <v>004002002</v>
      </c>
      <c r="H9" s="41">
        <f>[1]!EM_BK_SCOUNT(G9,"N","0")</f>
        <v>45</v>
      </c>
    </row>
    <row r="13" spans="1:256" s="7" customFormat="1" hidden="1">
      <c r="C13" s="8"/>
      <c r="D13" s="8"/>
      <c r="E13" s="8"/>
      <c r="F13" s="8"/>
      <c r="G13" s="8"/>
      <c r="H13" s="8"/>
      <c r="I13" s="8"/>
      <c r="J13" s="8"/>
      <c r="K13" s="8"/>
      <c r="L13" s="8"/>
      <c r="M13" s="8"/>
      <c r="N13" s="8"/>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row>
    <row r="14" spans="1:256" hidden="1"/>
    <row r="15" spans="1:256" s="7" customFormat="1" ht="13.5" hidden="1" customHeight="1">
      <c r="O15" s="39"/>
    </row>
    <row r="16" spans="1:256" s="7" customFormat="1" hidden="1">
      <c r="D16" s="9"/>
      <c r="E16" s="9"/>
      <c r="F16" s="9"/>
      <c r="G16" s="9"/>
      <c r="H16" s="9"/>
      <c r="I16" s="9"/>
      <c r="J16" s="9"/>
      <c r="K16" s="9"/>
      <c r="L16" s="9"/>
      <c r="M16" s="9"/>
      <c r="O16" s="39"/>
    </row>
    <row r="17" spans="1:25" s="7" customFormat="1" hidden="1">
      <c r="D17" s="9"/>
      <c r="E17" s="9"/>
      <c r="F17" s="9"/>
      <c r="G17" s="9"/>
      <c r="H17" s="9"/>
      <c r="I17" s="9"/>
      <c r="J17" s="9"/>
      <c r="K17" s="9"/>
      <c r="L17" s="9"/>
      <c r="M17" s="9"/>
      <c r="N17" s="8"/>
      <c r="O17" s="45"/>
      <c r="P17" s="8"/>
      <c r="Q17" s="8"/>
      <c r="R17" s="8"/>
      <c r="S17" s="8"/>
      <c r="T17" s="8"/>
      <c r="U17" s="8"/>
      <c r="V17" s="8"/>
      <c r="W17" s="8"/>
      <c r="X17" s="8"/>
      <c r="Y17" s="8"/>
    </row>
    <row r="19" spans="1:25" ht="25.55" customHeight="1">
      <c r="A19" s="109" t="s">
        <v>172</v>
      </c>
      <c r="B19" s="84" t="s">
        <v>173</v>
      </c>
      <c r="C19" s="84"/>
    </row>
    <row r="20" spans="1:25" ht="13.5" customHeight="1">
      <c r="A20" s="109"/>
      <c r="B20" s="84"/>
      <c r="C20" s="84"/>
    </row>
    <row r="21" spans="1:25" ht="13.5" customHeight="1">
      <c r="A21" s="109"/>
      <c r="B21" s="84"/>
      <c r="C21" s="84"/>
      <c r="D21" s="48" t="str">
        <f>偿债能力!D19</f>
        <v>0.5%</v>
      </c>
      <c r="E21" s="48" t="str">
        <f>偿债能力!E19</f>
        <v>0.5%</v>
      </c>
      <c r="F21" s="48" t="str">
        <f>偿债能力!F19</f>
        <v>0.5%</v>
      </c>
      <c r="G21" s="48" t="str">
        <f>偿债能力!G19</f>
        <v>0.5%</v>
      </c>
      <c r="H21" s="48" t="str">
        <f>偿债能力!H19</f>
        <v>0.5%</v>
      </c>
      <c r="I21" s="48" t="str">
        <f>偿债能力!I19</f>
        <v>1%</v>
      </c>
      <c r="J21" s="48" t="str">
        <f>偿债能力!J19</f>
        <v>5%</v>
      </c>
      <c r="K21" s="48" t="str">
        <f>偿债能力!K19</f>
        <v>20%</v>
      </c>
      <c r="L21" s="48" t="str">
        <f>偿债能力!L19</f>
        <v>30%</v>
      </c>
      <c r="M21" s="48" t="str">
        <f>偿债能力!M19</f>
        <v>40%</v>
      </c>
    </row>
    <row r="22" spans="1:25" ht="13.5" customHeight="1">
      <c r="D22" s="27" t="str">
        <f>偿债能力!D20</f>
        <v>2009-12-31</v>
      </c>
      <c r="E22" s="27" t="str">
        <f>偿债能力!E20</f>
        <v>2010-12-31</v>
      </c>
      <c r="F22" s="27" t="str">
        <f>偿债能力!F20</f>
        <v>2011-12-31</v>
      </c>
      <c r="G22" s="27" t="str">
        <f>偿债能力!G20</f>
        <v>2012-12-31</v>
      </c>
      <c r="H22" s="27" t="str">
        <f>偿债能力!H20</f>
        <v>2013-12-31</v>
      </c>
      <c r="I22" s="27" t="str">
        <f>偿债能力!I20</f>
        <v>2014-12-31</v>
      </c>
      <c r="J22" s="27" t="str">
        <f>偿债能力!J20</f>
        <v>2015-12-31</v>
      </c>
      <c r="K22" s="27" t="str">
        <f>偿债能力!K20</f>
        <v>2016-12-31</v>
      </c>
      <c r="L22" s="27" t="str">
        <f>偿债能力!L20</f>
        <v>2017-12-31</v>
      </c>
      <c r="M22" s="27" t="str">
        <f>偿债能力!M20</f>
        <v>2018-12-31</v>
      </c>
      <c r="N22" s="28" t="s">
        <v>119</v>
      </c>
    </row>
    <row r="23" spans="1:25" ht="13.5" customHeight="1">
      <c r="C23" s="29" t="str">
        <f>偿债能力!C21</f>
        <v>贵州茅台</v>
      </c>
      <c r="D23" s="10">
        <f>[1]!EM_S_FA_GROSSPROFITMARGIN($C$9,D22)</f>
        <v>90.168842325200004</v>
      </c>
      <c r="E23" s="10">
        <f>[1]!EM_S_FA_GROSSPROFITMARGIN($C$9,E22)</f>
        <v>90.948973521799999</v>
      </c>
      <c r="F23" s="10">
        <f>[1]!EM_S_FA_GROSSPROFITMARGIN($C$9,F22)</f>
        <v>91.570459549399999</v>
      </c>
      <c r="G23" s="10">
        <f>[1]!EM_S_FA_GROSSPROFITMARGIN($C$9,G22)</f>
        <v>92.272611717299995</v>
      </c>
      <c r="H23" s="10">
        <f>[1]!EM_S_FA_GROSSPROFITMARGIN($C$9,H22)</f>
        <v>92.904940156899997</v>
      </c>
      <c r="I23" s="10">
        <f>[1]!EM_S_FA_GROSSPROFITMARGIN($C$9,I22)</f>
        <v>92.593412853100006</v>
      </c>
      <c r="J23" s="10">
        <f>[1]!EM_S_FA_GROSSPROFITMARGIN($C$9,J22)</f>
        <v>92.227894052699995</v>
      </c>
      <c r="K23" s="10">
        <f>[1]!EM_S_FA_GROSSPROFITMARGIN($C$9,K22)</f>
        <v>91.225136600599996</v>
      </c>
      <c r="L23" s="10">
        <f>[1]!EM_S_FA_GROSSPROFITMARGIN($C$9,L22)</f>
        <v>89.796196153799997</v>
      </c>
      <c r="M23" s="10">
        <f>[1]!EM_S_FA_GROSSPROFITMARGIN($C$9,M22)</f>
        <v>91.142012876799996</v>
      </c>
      <c r="N23" s="73" t="str">
        <f>IFERROR(IF(O23&gt;O24,"优","差"),"")</f>
        <v>优</v>
      </c>
      <c r="O23" s="46">
        <f>(M23*M21)+(L23*L21)+(K23*K21)+(J23*J21)+(I23*I21)+(H23*H21)+(G23*G21)+(F23*F21)+(E23*E21)+(D23*D21)</f>
        <v>89.46734928449898</v>
      </c>
    </row>
    <row r="24" spans="1:25" ht="13.5" customHeight="1">
      <c r="C24" s="29" t="str">
        <f>偿债能力!C22</f>
        <v>饮料</v>
      </c>
      <c r="D24" s="10">
        <f>[1]!EM_BK_FA_ALL_GROSSPROFITMARGIN($G$9,D22,"0")</f>
        <v>51.43034696098286</v>
      </c>
      <c r="E24" s="10">
        <f>[1]!EM_BK_FA_ALL_GROSSPROFITMARGIN($G$9,E22,"0")</f>
        <v>53.680692740111859</v>
      </c>
      <c r="F24" s="10">
        <f>[1]!EM_BK_FA_ALL_GROSSPROFITMARGIN($G$9,F22,"0")</f>
        <v>56.578112831003779</v>
      </c>
      <c r="G24" s="10">
        <f>[1]!EM_BK_FA_ALL_GROSSPROFITMARGIN($G$9,G22,"0")</f>
        <v>59.194599229688457</v>
      </c>
      <c r="H24" s="10">
        <f>[1]!EM_BK_FA_ALL_GROSSPROFITMARGIN($G$9,H22,"0")</f>
        <v>58.061181894657608</v>
      </c>
      <c r="I24" s="10">
        <f>[1]!EM_BK_FA_ALL_GROSSPROFITMARGIN($G$9,I22,"0")</f>
        <v>57.391734374482432</v>
      </c>
      <c r="J24" s="10">
        <f>[1]!EM_BK_FA_ALL_GROSSPROFITMARGIN($G$9,J22,"0")</f>
        <v>57.901881816528068</v>
      </c>
      <c r="K24" s="10">
        <f>[1]!EM_BK_FA_ALL_GROSSPROFITMARGIN($G$9,K22,"0")</f>
        <v>60.545672996789328</v>
      </c>
      <c r="L24" s="10">
        <f>[1]!EM_BK_FA_ALL_GROSSPROFITMARGIN($G$9,L22,"0")</f>
        <v>63.389409057607153</v>
      </c>
      <c r="M24" s="10">
        <f>[1]!EM_BK_FA_ALL_GROSSPROFITMARGIN($G$9,M22,"0")</f>
        <v>64.914993420828367</v>
      </c>
      <c r="N24" s="73"/>
      <c r="O24" s="46">
        <f>(M24*M21)+(L24*L21)+(K24*K21)+(J24*J21)+(I24*I21)+(H24*H21)+(G24*G21)+(F24*F21)+(E24*E21)+(D24*D21)</f>
        <v>61.955690787824814</v>
      </c>
    </row>
    <row r="25" spans="1:25">
      <c r="C25" s="29" t="s">
        <v>140</v>
      </c>
      <c r="D25" s="10">
        <f>[1]!EM_BK_FA_ALL_GROSSPROFITMARGIN("001004",D22,"0")</f>
        <v>20.473326036953811</v>
      </c>
      <c r="E25" s="10">
        <f>[1]!EM_BK_FA_ALL_GROSSPROFITMARGIN("001004",E22,"0")</f>
        <v>19.942702008930947</v>
      </c>
      <c r="F25" s="10">
        <f>[1]!EM_BK_FA_ALL_GROSSPROFITMARGIN("001004",F22,"0")</f>
        <v>19.002141904403747</v>
      </c>
      <c r="G25" s="10">
        <f>[1]!EM_BK_FA_ALL_GROSSPROFITMARGIN("001004",G22,"0")</f>
        <v>18.320379725784054</v>
      </c>
      <c r="H25" s="10">
        <f>[1]!EM_BK_FA_ALL_GROSSPROFITMARGIN("001004",H22,"0")</f>
        <v>18.389600368780211</v>
      </c>
      <c r="I25" s="10">
        <f>[1]!EM_BK_FA_ALL_GROSSPROFITMARGIN("001004",I22,"0")</f>
        <v>18.88285026323927</v>
      </c>
      <c r="J25" s="10">
        <f>[1]!EM_BK_FA_ALL_GROSSPROFITMARGIN("001004",J22,"0")</f>
        <v>19.640946150823304</v>
      </c>
      <c r="K25" s="10">
        <f>[1]!EM_BK_FA_ALL_GROSSPROFITMARGIN("001004",K22,"0")</f>
        <v>19.951671054783628</v>
      </c>
      <c r="L25" s="10">
        <f>[1]!EM_BK_FA_ALL_GROSSPROFITMARGIN("001004",L22,"0")</f>
        <v>19.761373954325901</v>
      </c>
      <c r="M25" s="10">
        <f>[1]!EM_BK_FA_ALL_GROSSPROFITMARGIN("001004",M22,"0")</f>
        <v>19.929513784003795</v>
      </c>
      <c r="N25" s="73"/>
    </row>
    <row r="47" spans="3:14" ht="13.5" customHeight="1" thickBot="1">
      <c r="C47" s="62"/>
      <c r="D47" s="63"/>
      <c r="E47" s="63"/>
      <c r="F47" s="63"/>
      <c r="G47" s="63"/>
      <c r="H47" s="63"/>
      <c r="I47" s="63"/>
      <c r="J47" s="63"/>
      <c r="K47" s="63"/>
      <c r="L47" s="63"/>
      <c r="M47" s="63"/>
      <c r="N47" s="63"/>
    </row>
    <row r="48" spans="3:14" ht="13.5" customHeight="1">
      <c r="C48" s="100" t="s">
        <v>174</v>
      </c>
      <c r="D48" s="101"/>
      <c r="E48" s="101"/>
      <c r="F48" s="101"/>
      <c r="G48" s="101"/>
      <c r="H48" s="101"/>
      <c r="I48" s="101"/>
      <c r="J48" s="101"/>
      <c r="K48" s="101"/>
      <c r="L48" s="101"/>
      <c r="M48" s="101"/>
      <c r="N48" s="102"/>
    </row>
    <row r="49" spans="1:15">
      <c r="C49" s="103"/>
      <c r="D49" s="68"/>
      <c r="E49" s="68"/>
      <c r="F49" s="68"/>
      <c r="G49" s="68"/>
      <c r="H49" s="68"/>
      <c r="I49" s="68"/>
      <c r="J49" s="68"/>
      <c r="K49" s="68"/>
      <c r="L49" s="68"/>
      <c r="M49" s="68"/>
      <c r="N49" s="104"/>
    </row>
    <row r="50" spans="1:15" ht="14.7" thickBot="1">
      <c r="C50" s="105"/>
      <c r="D50" s="106"/>
      <c r="E50" s="106"/>
      <c r="F50" s="106"/>
      <c r="G50" s="106"/>
      <c r="H50" s="106"/>
      <c r="I50" s="106"/>
      <c r="J50" s="106"/>
      <c r="K50" s="106"/>
      <c r="L50" s="106"/>
      <c r="M50" s="106"/>
      <c r="N50" s="107"/>
    </row>
    <row r="51" spans="1:15">
      <c r="C51" s="62"/>
      <c r="D51" s="63"/>
      <c r="E51" s="63"/>
      <c r="F51" s="63"/>
      <c r="G51" s="63"/>
      <c r="H51" s="63"/>
      <c r="I51" s="63"/>
      <c r="J51" s="63"/>
      <c r="K51" s="63"/>
      <c r="L51" s="63"/>
      <c r="M51" s="63"/>
      <c r="N51" s="63"/>
    </row>
    <row r="57" spans="1:15" ht="13.5" customHeight="1">
      <c r="A57" s="109" t="s">
        <v>176</v>
      </c>
      <c r="B57" s="110" t="s">
        <v>175</v>
      </c>
      <c r="C57" s="110"/>
    </row>
    <row r="58" spans="1:15" ht="13.5" customHeight="1">
      <c r="A58" s="109"/>
      <c r="B58" s="110"/>
      <c r="C58" s="110"/>
    </row>
    <row r="59" spans="1:15" ht="13.5" customHeight="1">
      <c r="A59" s="109"/>
      <c r="B59" s="110"/>
      <c r="C59" s="110"/>
      <c r="D59" s="48" t="str">
        <f>D$21</f>
        <v>0.5%</v>
      </c>
      <c r="E59" s="48" t="str">
        <f t="shared" ref="E59:M59" si="0">E$21</f>
        <v>0.5%</v>
      </c>
      <c r="F59" s="48" t="str">
        <f t="shared" si="0"/>
        <v>0.5%</v>
      </c>
      <c r="G59" s="48" t="str">
        <f t="shared" si="0"/>
        <v>0.5%</v>
      </c>
      <c r="H59" s="48" t="str">
        <f t="shared" si="0"/>
        <v>0.5%</v>
      </c>
      <c r="I59" s="48" t="str">
        <f t="shared" si="0"/>
        <v>1%</v>
      </c>
      <c r="J59" s="48" t="str">
        <f t="shared" si="0"/>
        <v>5%</v>
      </c>
      <c r="K59" s="48" t="str">
        <f t="shared" si="0"/>
        <v>20%</v>
      </c>
      <c r="L59" s="48" t="str">
        <f t="shared" si="0"/>
        <v>30%</v>
      </c>
      <c r="M59" s="48" t="str">
        <f t="shared" si="0"/>
        <v>40%</v>
      </c>
    </row>
    <row r="60" spans="1:15" ht="13.5" customHeight="1">
      <c r="D60" s="27" t="str">
        <f>D$22</f>
        <v>2009-12-31</v>
      </c>
      <c r="E60" s="27" t="str">
        <f t="shared" ref="E60:M60" si="1">E$22</f>
        <v>2010-12-31</v>
      </c>
      <c r="F60" s="27" t="str">
        <f t="shared" si="1"/>
        <v>2011-12-31</v>
      </c>
      <c r="G60" s="27" t="str">
        <f t="shared" si="1"/>
        <v>2012-12-31</v>
      </c>
      <c r="H60" s="27" t="str">
        <f t="shared" si="1"/>
        <v>2013-12-31</v>
      </c>
      <c r="I60" s="27" t="str">
        <f t="shared" si="1"/>
        <v>2014-12-31</v>
      </c>
      <c r="J60" s="27" t="str">
        <f t="shared" si="1"/>
        <v>2015-12-31</v>
      </c>
      <c r="K60" s="27" t="str">
        <f t="shared" si="1"/>
        <v>2016-12-31</v>
      </c>
      <c r="L60" s="27" t="str">
        <f t="shared" si="1"/>
        <v>2017-12-31</v>
      </c>
      <c r="M60" s="27" t="str">
        <f t="shared" si="1"/>
        <v>2018-12-31</v>
      </c>
      <c r="N60" s="28" t="s">
        <v>119</v>
      </c>
    </row>
    <row r="61" spans="1:15" ht="13.5" customHeight="1">
      <c r="C61" s="29" t="str">
        <f>C23</f>
        <v>贵州茅台</v>
      </c>
      <c r="D61" s="10">
        <f>[1]!EM_S_FA_ROE($C$9,D60)</f>
        <v>33.546118064399998</v>
      </c>
      <c r="E61" s="10">
        <f>[1]!EM_S_FA_ROE($C$9,E60)</f>
        <v>30.7392763201</v>
      </c>
      <c r="F61" s="10">
        <f>[1]!EM_S_FA_ROE($C$9,F60)</f>
        <v>40.3925106895</v>
      </c>
      <c r="G61" s="10">
        <f>[1]!EM_S_FA_ROE($C$9,G60)</f>
        <v>45.004707209800003</v>
      </c>
      <c r="H61" s="10">
        <f>[1]!EM_S_FA_ROE($C$9,H60)</f>
        <v>39.432775738799997</v>
      </c>
      <c r="I61" s="10">
        <f>[1]!EM_S_FA_ROE($C$9,I60)</f>
        <v>31.961240604699999</v>
      </c>
      <c r="J61" s="10">
        <f>[1]!EM_S_FA_ROE($C$9,J60)</f>
        <v>26.420532329699999</v>
      </c>
      <c r="K61" s="10">
        <f>[1]!EM_S_FA_ROE($C$9,K60)</f>
        <v>24.438457144699999</v>
      </c>
      <c r="L61" s="10">
        <f>[1]!EM_S_FA_ROE($C$9,L60)</f>
        <v>32.954153039200001</v>
      </c>
      <c r="M61" s="10">
        <f>[1]!EM_S_FA_ROE($C$9,M60)</f>
        <v>34.4643499373</v>
      </c>
      <c r="N61" s="95" t="str">
        <f>IFERROR(IF(O61&gt;O62,"优","差"),"")</f>
        <v>优</v>
      </c>
      <c r="O61" s="46">
        <f>(M61*M59)+(L61*L59)+(K61*K59)+(J61*J59)+(I61*I59)+(H61*H59)+(G61*G59)+(F61*F59)+(E61*E59)+(D61*D59)</f>
        <v>31.145893278265003</v>
      </c>
    </row>
    <row r="62" spans="1:15" ht="13.5" customHeight="1">
      <c r="C62" s="29" t="str">
        <f>C24</f>
        <v>饮料</v>
      </c>
      <c r="D62" s="10">
        <f>[1]!EM_BK_FA_ALL_ROE($G$9,D22,"0")</f>
        <v>20.755976730417139</v>
      </c>
      <c r="E62" s="10">
        <f>[1]!EM_BK_FA_ALL_ROE($G$9,E22,"0")</f>
        <v>22.42464457296208</v>
      </c>
      <c r="F62" s="10">
        <f>[1]!EM_BK_FA_ALL_ROE($G$9,F22,"0")</f>
        <v>26.33707157372767</v>
      </c>
      <c r="G62" s="10">
        <f>[1]!EM_BK_FA_ALL_ROE($G$9,G22,"0")</f>
        <v>30.293354615301951</v>
      </c>
      <c r="H62" s="10">
        <f>[1]!EM_BK_FA_ALL_ROE($G$9,H22,"0")</f>
        <v>22.676521623329368</v>
      </c>
      <c r="I62" s="10">
        <f>[1]!EM_BK_FA_ALL_ROE($G$9,I22,"0")</f>
        <v>17.670423001929343</v>
      </c>
      <c r="J62" s="10">
        <f>[1]!EM_BK_FA_ALL_ROE($G$9,J22,"0")</f>
        <v>16.99776761467956</v>
      </c>
      <c r="K62" s="10">
        <f>[1]!EM_BK_FA_ALL_ROE($G$9,K22,"0")</f>
        <v>16.311234109502276</v>
      </c>
      <c r="L62" s="10">
        <f>[1]!EM_BK_FA_ALL_ROE($G$9,L22,"0")</f>
        <v>19.549770520208945</v>
      </c>
      <c r="M62" s="10">
        <f>[1]!EM_BK_FA_ALL_ROE($G$9,M22,"0")</f>
        <v>21.98894378589673</v>
      </c>
      <c r="N62" s="96"/>
      <c r="O62" s="46">
        <f>(M62*M59)+(L62*L59)+(K62*K59)+(J62*J59)+(I62*I59)+(H62*H59)+(G62*G59)+(F62*F59)+(E62*E59)+(D62*D59)</f>
        <v>19.561785948653792</v>
      </c>
    </row>
    <row r="63" spans="1:15" ht="13.5" customHeight="1">
      <c r="C63" s="29" t="s">
        <v>140</v>
      </c>
      <c r="D63" s="10">
        <f>[1]!EM_BK_FA_ALL_ROE("001004",D22,"0")</f>
        <v>14.644327188227541</v>
      </c>
      <c r="E63" s="10">
        <f>[1]!EM_BK_FA_ALL_ROE("001004",E22,"0")</f>
        <v>16.482573246428359</v>
      </c>
      <c r="F63" s="10">
        <f>[1]!EM_BK_FA_ALL_ROE("001004",F22,"0")</f>
        <v>15.388303156571929</v>
      </c>
      <c r="G63" s="10">
        <f>[1]!EM_BK_FA_ALL_ROE("001004",G22,"0")</f>
        <v>13.640089902343018</v>
      </c>
      <c r="H63" s="10">
        <f>[1]!EM_BK_FA_ALL_ROE("001004",H22,"0")</f>
        <v>13.883479046690432</v>
      </c>
      <c r="I63" s="10">
        <f>[1]!EM_BK_FA_ALL_ROE("001004",I22,"0")</f>
        <v>13.099402790907924</v>
      </c>
      <c r="J63" s="10">
        <f>[1]!EM_BK_FA_ALL_ROE("001004",J22,"0")</f>
        <v>11.46029873549104</v>
      </c>
      <c r="K63" s="10">
        <f>[1]!EM_BK_FA_ALL_ROE("001004",K22,"0")</f>
        <v>10.538445419023271</v>
      </c>
      <c r="L63" s="10">
        <f>[1]!EM_BK_FA_ALL_ROE("001004",L22,"0")</f>
        <v>11.018362319157999</v>
      </c>
      <c r="M63" s="10">
        <f>[1]!EM_BK_FA_ALL_ROE("001004",M22,"0")</f>
        <v>9.8420944557815666</v>
      </c>
      <c r="N63" s="97"/>
    </row>
    <row r="85" spans="1:14" ht="14.7" thickBot="1">
      <c r="C85" s="62"/>
      <c r="D85" s="63"/>
      <c r="E85" s="63"/>
      <c r="F85" s="63"/>
      <c r="G85" s="63"/>
      <c r="H85" s="63"/>
      <c r="I85" s="63"/>
      <c r="J85" s="63"/>
      <c r="K85" s="63"/>
      <c r="L85" s="63"/>
      <c r="M85" s="63"/>
      <c r="N85" s="63"/>
    </row>
    <row r="86" spans="1:14" ht="13.5" customHeight="1">
      <c r="C86" s="100" t="s">
        <v>177</v>
      </c>
      <c r="D86" s="101"/>
      <c r="E86" s="101"/>
      <c r="F86" s="101"/>
      <c r="G86" s="101"/>
      <c r="H86" s="101"/>
      <c r="I86" s="101"/>
      <c r="J86" s="101"/>
      <c r="K86" s="101"/>
      <c r="L86" s="101"/>
      <c r="M86" s="101"/>
      <c r="N86" s="102"/>
    </row>
    <row r="87" spans="1:14" ht="14.7" thickBot="1">
      <c r="C87" s="105"/>
      <c r="D87" s="106"/>
      <c r="E87" s="106"/>
      <c r="F87" s="106"/>
      <c r="G87" s="106"/>
      <c r="H87" s="106"/>
      <c r="I87" s="106"/>
      <c r="J87" s="106"/>
      <c r="K87" s="106"/>
      <c r="L87" s="106"/>
      <c r="M87" s="106"/>
      <c r="N87" s="107"/>
    </row>
    <row r="88" spans="1:14">
      <c r="C88" s="62"/>
      <c r="D88" s="63"/>
      <c r="E88" s="63"/>
      <c r="F88" s="63"/>
      <c r="G88" s="63"/>
      <c r="H88" s="63"/>
      <c r="I88" s="63"/>
      <c r="J88" s="63"/>
      <c r="K88" s="63"/>
      <c r="L88" s="63"/>
      <c r="M88" s="63"/>
      <c r="N88" s="63"/>
    </row>
    <row r="89" spans="1:14">
      <c r="C89" s="15"/>
      <c r="D89" s="15"/>
      <c r="E89" s="15"/>
      <c r="F89" s="15"/>
      <c r="G89" s="15"/>
      <c r="H89" s="15"/>
      <c r="I89" s="15"/>
      <c r="J89" s="15"/>
      <c r="K89" s="15"/>
      <c r="L89" s="15"/>
      <c r="M89" s="15"/>
      <c r="N89" s="15"/>
    </row>
    <row r="90" spans="1:14">
      <c r="C90" s="15"/>
      <c r="D90" s="15"/>
      <c r="E90" s="15"/>
      <c r="F90" s="15"/>
      <c r="G90" s="15"/>
      <c r="H90" s="15"/>
      <c r="I90" s="15"/>
      <c r="J90" s="15"/>
      <c r="K90" s="15"/>
      <c r="L90" s="15"/>
      <c r="M90" s="15"/>
      <c r="N90" s="15"/>
    </row>
    <row r="91" spans="1:14">
      <c r="C91" s="15"/>
      <c r="D91" s="15"/>
      <c r="E91" s="15"/>
      <c r="F91" s="15"/>
      <c r="G91" s="15"/>
      <c r="H91" s="15"/>
      <c r="I91" s="15"/>
      <c r="J91" s="15"/>
      <c r="K91" s="15"/>
      <c r="L91" s="15"/>
      <c r="M91" s="15"/>
      <c r="N91" s="15"/>
    </row>
    <row r="95" spans="1:14" ht="13.5" customHeight="1">
      <c r="A95" s="108" t="s">
        <v>180</v>
      </c>
      <c r="B95" s="94" t="s">
        <v>178</v>
      </c>
      <c r="C95" s="94"/>
    </row>
    <row r="96" spans="1:14" ht="13.5" customHeight="1">
      <c r="A96" s="108"/>
      <c r="B96" s="94"/>
      <c r="C96" s="94"/>
    </row>
    <row r="97" spans="1:15" ht="13.5" customHeight="1">
      <c r="A97" s="108"/>
      <c r="B97" s="94"/>
      <c r="C97" s="94"/>
      <c r="D97" s="48" t="str">
        <f>D59</f>
        <v>0.5%</v>
      </c>
      <c r="E97" s="48" t="str">
        <f t="shared" ref="E97:M98" si="2">E59</f>
        <v>0.5%</v>
      </c>
      <c r="F97" s="48" t="str">
        <f t="shared" si="2"/>
        <v>0.5%</v>
      </c>
      <c r="G97" s="48" t="str">
        <f t="shared" si="2"/>
        <v>0.5%</v>
      </c>
      <c r="H97" s="48" t="str">
        <f t="shared" si="2"/>
        <v>0.5%</v>
      </c>
      <c r="I97" s="48" t="str">
        <f t="shared" si="2"/>
        <v>1%</v>
      </c>
      <c r="J97" s="48" t="str">
        <f t="shared" si="2"/>
        <v>5%</v>
      </c>
      <c r="K97" s="48" t="str">
        <f t="shared" si="2"/>
        <v>20%</v>
      </c>
      <c r="L97" s="48" t="str">
        <f t="shared" si="2"/>
        <v>30%</v>
      </c>
      <c r="M97" s="48" t="str">
        <f t="shared" si="2"/>
        <v>40%</v>
      </c>
    </row>
    <row r="98" spans="1:15" ht="13.5" customHeight="1">
      <c r="D98" s="27" t="str">
        <f>D60</f>
        <v>2009-12-31</v>
      </c>
      <c r="E98" s="27" t="str">
        <f t="shared" si="2"/>
        <v>2010-12-31</v>
      </c>
      <c r="F98" s="27" t="str">
        <f t="shared" si="2"/>
        <v>2011-12-31</v>
      </c>
      <c r="G98" s="27" t="str">
        <f t="shared" si="2"/>
        <v>2012-12-31</v>
      </c>
      <c r="H98" s="27" t="str">
        <f t="shared" si="2"/>
        <v>2013-12-31</v>
      </c>
      <c r="I98" s="27" t="str">
        <f t="shared" si="2"/>
        <v>2014-12-31</v>
      </c>
      <c r="J98" s="27" t="str">
        <f t="shared" si="2"/>
        <v>2015-12-31</v>
      </c>
      <c r="K98" s="27" t="str">
        <f t="shared" si="2"/>
        <v>2016-12-31</v>
      </c>
      <c r="L98" s="27" t="str">
        <f t="shared" si="2"/>
        <v>2017-12-31</v>
      </c>
      <c r="M98" s="27" t="str">
        <f t="shared" si="2"/>
        <v>2018-12-31</v>
      </c>
      <c r="N98" s="28" t="s">
        <v>143</v>
      </c>
    </row>
    <row r="99" spans="1:15" ht="13.5" customHeight="1">
      <c r="C99" s="29" t="str">
        <f>C61</f>
        <v>贵州茅台</v>
      </c>
      <c r="D99" s="10">
        <f>[1]!EM_S_FA_NETPROFITMARGIN($C$9,D22)</f>
        <v>47.082620310599999</v>
      </c>
      <c r="E99" s="10">
        <f>[1]!EM_S_FA_NETPROFITMARGIN($C$9,E22)</f>
        <v>45.900724302999997</v>
      </c>
      <c r="F99" s="10">
        <f>[1]!EM_S_FA_NETPROFITMARGIN($C$9,F22)</f>
        <v>50.267064750199999</v>
      </c>
      <c r="G99" s="10">
        <f>[1]!EM_S_FA_NETPROFITMARGIN($C$9,G22)</f>
        <v>52.951325776700003</v>
      </c>
      <c r="H99" s="10">
        <f>[1]!EM_S_FA_NETPROFITMARGIN($C$9,H22)</f>
        <v>51.629915468299998</v>
      </c>
      <c r="I99" s="10">
        <f>[1]!EM_S_FA_NETPROFITMARGIN($C$9,I22)</f>
        <v>51.527865763999998</v>
      </c>
      <c r="J99" s="10">
        <f>[1]!EM_S_FA_NETPROFITMARGIN($C$9,J22)</f>
        <v>50.383363008000003</v>
      </c>
      <c r="K99" s="10">
        <f>[1]!EM_S_FA_NETPROFITMARGIN($C$9,K22)</f>
        <v>46.139044435499997</v>
      </c>
      <c r="L99" s="10">
        <f>[1]!EM_S_FA_NETPROFITMARGIN($C$9,L22)</f>
        <v>49.823924447300001</v>
      </c>
      <c r="M99" s="10">
        <f>[1]!EM_S_FA_NETPROFITMARGIN($C$9,M22)</f>
        <v>51.371804768399997</v>
      </c>
      <c r="N99" s="73" t="str">
        <f>IFERROR(IF(O99&gt;O100,"优","差"),"")</f>
        <v>优</v>
      </c>
      <c r="O99" s="46">
        <f>(M99*M97)+(L99*L97)+(K99*K97)+(J99*J97)+(I99*I97)+(H99*H97)+(G99*G97)+(F99*F97)+(E99*E97)+(D99*D97)</f>
        <v>48.997313189734001</v>
      </c>
    </row>
    <row r="100" spans="1:15" ht="13.5" customHeight="1">
      <c r="C100" s="29" t="str">
        <f>C62</f>
        <v>饮料</v>
      </c>
      <c r="D100" s="10">
        <f>[1]!EM_BK_FA_ALL_NETPROFITMARGIN($G$9,D22,"0")</f>
        <v>17.634588119435126</v>
      </c>
      <c r="E100" s="10">
        <f>[1]!EM_BK_FA_ALL_NETPROFITMARGIN($G$9,E22,"0")</f>
        <v>18.992449195000212</v>
      </c>
      <c r="F100" s="10">
        <f>[1]!EM_BK_FA_ALL_NETPROFITMARGIN($G$9,F22,"0")</f>
        <v>21.1441218646519</v>
      </c>
      <c r="G100" s="10">
        <f>[1]!EM_BK_FA_ALL_NETPROFITMARGIN($G$9,G22,"0")</f>
        <v>24.154214117047161</v>
      </c>
      <c r="H100" s="10">
        <f>[1]!EM_BK_FA_ALL_NETPROFITMARGIN($G$9,H22,"0")</f>
        <v>21.701103737513741</v>
      </c>
      <c r="I100" s="10">
        <f>[1]!EM_BK_FA_ALL_NETPROFITMARGIN($G$9,I22,"0")</f>
        <v>20.061772666679911</v>
      </c>
      <c r="J100" s="10">
        <f>[1]!EM_BK_FA_ALL_NETPROFITMARGIN($G$9,J22,"0")</f>
        <v>21.271585028378148</v>
      </c>
      <c r="K100" s="10">
        <f>[1]!EM_BK_FA_ALL_NETPROFITMARGIN($G$9,K22,"0")</f>
        <v>21.519344185990498</v>
      </c>
      <c r="L100" s="10">
        <f>[1]!EM_BK_FA_ALL_NETPROFITMARGIN($G$9,L22,"0")</f>
        <v>25.146466196924109</v>
      </c>
      <c r="M100" s="10">
        <f>[1]!EM_BK_FA_ALL_NETPROFITMARGIN($G$9,M22,"0")</f>
        <v>26.984411414204047</v>
      </c>
      <c r="N100" s="73"/>
      <c r="O100" s="46">
        <f>(M100*M97)+(L100*L97)+(K100*K97)+(J100*J97)+(I100*I97)+(H100*H97)+(G100*G97)+(F100*F97)+(E100*E97)+(D100*D97)</f>
        <v>24.4239026252109</v>
      </c>
    </row>
    <row r="101" spans="1:15" ht="13.5" customHeight="1">
      <c r="C101" s="29" t="s">
        <v>144</v>
      </c>
      <c r="D101" s="10">
        <f>[1]!EM_BK_FA_ALL_NETPROFITMARGIN("001004",D22,"0")</f>
        <v>9.8697691022163792</v>
      </c>
      <c r="E101" s="10">
        <f>[1]!EM_BK_FA_ALL_NETPROFITMARGIN("001004",E22,"0")</f>
        <v>10.129068451224294</v>
      </c>
      <c r="F101" s="10">
        <f>[1]!EM_BK_FA_ALL_NETPROFITMARGIN("001004",F22,"0")</f>
        <v>9.4396295306873146</v>
      </c>
      <c r="G101" s="10">
        <f>[1]!EM_BK_FA_ALL_NETPROFITMARGIN("001004",G22,"0")</f>
        <v>8.7861209366310025</v>
      </c>
      <c r="H101" s="10">
        <f>[1]!EM_BK_FA_ALL_NETPROFITMARGIN("001004",H22,"0")</f>
        <v>9.1829954844273889</v>
      </c>
      <c r="I101" s="10">
        <f>[1]!EM_BK_FA_ALL_NETPROFITMARGIN("001004",I22,"0")</f>
        <v>9.2154937773665644</v>
      </c>
      <c r="J101" s="10">
        <f>[1]!EM_BK_FA_ALL_NETPROFITMARGIN("001004",J22,"0")</f>
        <v>9.3167681151216062</v>
      </c>
      <c r="K101" s="10">
        <f>[1]!EM_BK_FA_ALL_NETPROFITMARGIN("001004",K22,"0")</f>
        <v>9.2976095830134327</v>
      </c>
      <c r="L101" s="10">
        <f>[1]!EM_BK_FA_ALL_NETPROFITMARGIN("001004",L22,"0")</f>
        <v>9.2757192579086798</v>
      </c>
      <c r="M101" s="10">
        <f>[1]!EM_BK_FA_ALL_NETPROFITMARGIN("001004",M22,"0")</f>
        <v>8.2740501548067034</v>
      </c>
      <c r="N101" s="73"/>
    </row>
    <row r="123" spans="3:14" ht="14.7" thickBot="1">
      <c r="C123" s="62"/>
      <c r="D123" s="63"/>
      <c r="E123" s="63"/>
      <c r="F123" s="63"/>
      <c r="G123" s="63"/>
      <c r="H123" s="63"/>
      <c r="I123" s="63"/>
      <c r="J123" s="63"/>
      <c r="K123" s="63"/>
      <c r="L123" s="63"/>
      <c r="M123" s="63"/>
      <c r="N123" s="63"/>
    </row>
    <row r="124" spans="3:14" ht="13.5" customHeight="1">
      <c r="C124" s="100" t="s">
        <v>179</v>
      </c>
      <c r="D124" s="101"/>
      <c r="E124" s="101"/>
      <c r="F124" s="101"/>
      <c r="G124" s="101"/>
      <c r="H124" s="101"/>
      <c r="I124" s="101"/>
      <c r="J124" s="101"/>
      <c r="K124" s="101"/>
      <c r="L124" s="101"/>
      <c r="M124" s="101"/>
      <c r="N124" s="102"/>
    </row>
    <row r="125" spans="3:14">
      <c r="C125" s="103"/>
      <c r="D125" s="68"/>
      <c r="E125" s="68"/>
      <c r="F125" s="68"/>
      <c r="G125" s="68"/>
      <c r="H125" s="68"/>
      <c r="I125" s="68"/>
      <c r="J125" s="68"/>
      <c r="K125" s="68"/>
      <c r="L125" s="68"/>
      <c r="M125" s="68"/>
      <c r="N125" s="104"/>
    </row>
    <row r="126" spans="3:14">
      <c r="C126" s="103"/>
      <c r="D126" s="68"/>
      <c r="E126" s="68"/>
      <c r="F126" s="68"/>
      <c r="G126" s="68"/>
      <c r="H126" s="68"/>
      <c r="I126" s="68"/>
      <c r="J126" s="68"/>
      <c r="K126" s="68"/>
      <c r="L126" s="68"/>
      <c r="M126" s="68"/>
      <c r="N126" s="104"/>
    </row>
    <row r="127" spans="3:14" ht="14.7" thickBot="1">
      <c r="C127" s="105"/>
      <c r="D127" s="106"/>
      <c r="E127" s="106"/>
      <c r="F127" s="106"/>
      <c r="G127" s="106"/>
      <c r="H127" s="106"/>
      <c r="I127" s="106"/>
      <c r="J127" s="106"/>
      <c r="K127" s="106"/>
      <c r="L127" s="106"/>
      <c r="M127" s="106"/>
      <c r="N127" s="107"/>
    </row>
    <row r="128" spans="3:14">
      <c r="C128" s="80"/>
      <c r="D128" s="81"/>
      <c r="E128" s="81"/>
      <c r="F128" s="81"/>
      <c r="G128" s="81"/>
      <c r="H128" s="81"/>
      <c r="I128" s="81"/>
      <c r="J128" s="81"/>
      <c r="K128" s="81"/>
      <c r="L128" s="81"/>
      <c r="M128" s="81"/>
      <c r="N128" s="81"/>
    </row>
    <row r="129" spans="1:15">
      <c r="C129" s="25"/>
      <c r="D129" s="26"/>
      <c r="E129" s="26"/>
      <c r="F129" s="26"/>
      <c r="G129" s="26"/>
      <c r="H129" s="26"/>
      <c r="I129" s="26"/>
      <c r="J129" s="26"/>
      <c r="K129" s="26"/>
      <c r="L129" s="26"/>
      <c r="M129" s="26"/>
      <c r="N129" s="26"/>
    </row>
    <row r="130" spans="1:15">
      <c r="C130" s="25"/>
      <c r="D130" s="26"/>
      <c r="E130" s="26"/>
      <c r="F130" s="26"/>
      <c r="G130" s="26"/>
      <c r="H130" s="26"/>
      <c r="I130" s="26"/>
      <c r="J130" s="26"/>
      <c r="K130" s="26"/>
      <c r="L130" s="26"/>
      <c r="M130" s="26"/>
      <c r="N130" s="26"/>
    </row>
    <row r="132" spans="1:15">
      <c r="C132" s="15"/>
      <c r="D132" s="15"/>
      <c r="E132" s="15"/>
      <c r="F132" s="15"/>
      <c r="G132" s="15"/>
      <c r="H132" s="15"/>
      <c r="I132" s="15"/>
      <c r="J132" s="15"/>
      <c r="K132" s="15"/>
      <c r="L132" s="15"/>
      <c r="M132" s="15"/>
      <c r="N132" s="15"/>
    </row>
    <row r="134" spans="1:15" ht="13.5" customHeight="1">
      <c r="A134" s="98" t="s">
        <v>146</v>
      </c>
      <c r="B134" s="94" t="s">
        <v>210</v>
      </c>
      <c r="C134" s="94"/>
    </row>
    <row r="135" spans="1:15" ht="13.5" customHeight="1">
      <c r="A135" s="98"/>
      <c r="B135" s="94"/>
      <c r="C135" s="94"/>
    </row>
    <row r="136" spans="1:15" ht="13.5" customHeight="1">
      <c r="A136" s="98"/>
      <c r="B136" s="94"/>
      <c r="C136" s="94"/>
      <c r="D136" s="48" t="str">
        <f>D$21</f>
        <v>0.5%</v>
      </c>
      <c r="E136" s="48" t="str">
        <f t="shared" ref="E136:M136" si="3">E$21</f>
        <v>0.5%</v>
      </c>
      <c r="F136" s="48" t="str">
        <f t="shared" si="3"/>
        <v>0.5%</v>
      </c>
      <c r="G136" s="48" t="str">
        <f t="shared" si="3"/>
        <v>0.5%</v>
      </c>
      <c r="H136" s="48" t="str">
        <f t="shared" si="3"/>
        <v>0.5%</v>
      </c>
      <c r="I136" s="48" t="str">
        <f t="shared" si="3"/>
        <v>1%</v>
      </c>
      <c r="J136" s="48" t="str">
        <f t="shared" si="3"/>
        <v>5%</v>
      </c>
      <c r="K136" s="48" t="str">
        <f t="shared" si="3"/>
        <v>20%</v>
      </c>
      <c r="L136" s="48" t="str">
        <f t="shared" si="3"/>
        <v>30%</v>
      </c>
      <c r="M136" s="48" t="str">
        <f t="shared" si="3"/>
        <v>40%</v>
      </c>
    </row>
    <row r="137" spans="1:15" ht="13.5" customHeight="1">
      <c r="D137" s="27" t="str">
        <f>D$22</f>
        <v>2009-12-31</v>
      </c>
      <c r="E137" s="27" t="str">
        <f t="shared" ref="E137:M137" si="4">E$22</f>
        <v>2010-12-31</v>
      </c>
      <c r="F137" s="27" t="str">
        <f t="shared" si="4"/>
        <v>2011-12-31</v>
      </c>
      <c r="G137" s="27" t="str">
        <f t="shared" si="4"/>
        <v>2012-12-31</v>
      </c>
      <c r="H137" s="27" t="str">
        <f t="shared" si="4"/>
        <v>2013-12-31</v>
      </c>
      <c r="I137" s="27" t="str">
        <f t="shared" si="4"/>
        <v>2014-12-31</v>
      </c>
      <c r="J137" s="27" t="str">
        <f t="shared" si="4"/>
        <v>2015-12-31</v>
      </c>
      <c r="K137" s="27" t="str">
        <f t="shared" si="4"/>
        <v>2016-12-31</v>
      </c>
      <c r="L137" s="27" t="str">
        <f t="shared" si="4"/>
        <v>2017-12-31</v>
      </c>
      <c r="M137" s="27" t="str">
        <f t="shared" si="4"/>
        <v>2018-12-31</v>
      </c>
      <c r="N137" s="28" t="s">
        <v>148</v>
      </c>
    </row>
    <row r="138" spans="1:15" ht="13.5" customHeight="1">
      <c r="C138" s="29" t="str">
        <f>C99</f>
        <v>贵州茅台</v>
      </c>
      <c r="D138" s="10">
        <f>[1]!EM_S_FA_ASSETSTURN($C$9,D22)</f>
        <v>0.54442351749499995</v>
      </c>
      <c r="E138" s="10">
        <f>[1]!EM_S_FA_ASSETSTURN($C$9,E22)</f>
        <v>0.51296301129999999</v>
      </c>
      <c r="F138" s="10">
        <f>[1]!EM_S_FA_ASSETSTURN($C$9,F22)</f>
        <v>0.608458492061</v>
      </c>
      <c r="G138" s="10">
        <f>[1]!EM_S_FA_ASSETSTURN($C$9,G22)</f>
        <v>0.66221878496599995</v>
      </c>
      <c r="H138" s="10">
        <f>[1]!EM_S_FA_ASSETSTURN($C$9,H22)</f>
        <v>0.61861356640099996</v>
      </c>
      <c r="I138" s="10">
        <f>[1]!EM_S_FA_ASSETSTURN($C$9,I22)</f>
        <v>0.531079312217</v>
      </c>
      <c r="J138" s="10">
        <f>[1]!EM_S_FA_ASSETSTURN($C$9,J22)</f>
        <v>0.43958522314600001</v>
      </c>
      <c r="K138" s="10">
        <f>[1]!EM_S_FA_ASSETSTURN($C$9,K22)</f>
        <v>0.40309064696800001</v>
      </c>
      <c r="L138" s="10">
        <f>[1]!EM_S_FA_ASSETSTURN($C$9,L22)</f>
        <v>0.493347406978</v>
      </c>
      <c r="M138" s="10">
        <f>[1]!EM_S_FA_ASSETSTURN($C$9,M22)</f>
        <v>0.52435118706399997</v>
      </c>
      <c r="N138" s="73" t="str">
        <f>IFERROR(IF(O138&gt;O139,"优","差"),"")</f>
        <v>差</v>
      </c>
      <c r="O138" s="46">
        <f>(M138*M136)+(L138*L136)+(K138*K136)+(J138*J136)+(I138*I136)+(H138*H136)+(G138*G136)+(F138*F136)+(E138*E136)+(D138*D136)</f>
        <v>0.48038626745318502</v>
      </c>
    </row>
    <row r="139" spans="1:15" ht="13.5" customHeight="1">
      <c r="C139" s="29" t="str">
        <f>C100</f>
        <v>饮料</v>
      </c>
      <c r="D139" s="10">
        <f>[1]!EM_BK_FA_ALL_ASSETSTURN($G$9,D22,"0")</f>
        <v>0.74643699652089113</v>
      </c>
      <c r="E139" s="10">
        <f>[1]!EM_BK_FA_ALL_ASSETSTURN($G$9,E22,"0")</f>
        <v>0.73404174973833769</v>
      </c>
      <c r="F139" s="10">
        <f>[1]!EM_BK_FA_ALL_ASSETSTURN($G$9,F22,"0")</f>
        <v>0.74958344980709313</v>
      </c>
      <c r="G139" s="10">
        <f>[1]!EM_BK_FA_ALL_ASSETSTURN($G$9,G22,"0")</f>
        <v>0.75770047047215983</v>
      </c>
      <c r="H139" s="10">
        <f>[1]!EM_BK_FA_ALL_ASSETSTURN($G$9,H22,"0")</f>
        <v>0.67441821109206535</v>
      </c>
      <c r="I139" s="10">
        <f>[1]!EM_BK_FA_ALL_ASSETSTURN($G$9,I22,"0")</f>
        <v>0.60561350578072104</v>
      </c>
      <c r="J139" s="10">
        <f>[1]!EM_BK_FA_ALL_ASSETSTURN($G$9,J22,"0")</f>
        <v>0.56029170538269557</v>
      </c>
      <c r="K139" s="10">
        <f>[1]!EM_BK_FA_ALL_ASSETSTURN($G$9,K22,"0")</f>
        <v>0.52343571020623569</v>
      </c>
      <c r="L139" s="10">
        <f>[1]!EM_BK_FA_ALL_ASSETSTURN($G$9,L22,"0")</f>
        <v>0.54066255926680806</v>
      </c>
      <c r="M139" s="10">
        <f>[1]!EM_BK_FA_ALL_ASSETSTURN($G$9,M22,"0")</f>
        <v>0.57670389842761738</v>
      </c>
      <c r="N139" s="73"/>
      <c r="O139" s="46">
        <f>(M139*M136)+(L139*L136)+(K139*K136)+(J139*J136)+(I139*I136)+(H139*H136)+(G139*G136)+(F139*F136)+(E139*E136)+(D139*D136)</f>
        <v>0.54994909390743119</v>
      </c>
    </row>
    <row r="140" spans="1:15" ht="13.5" customHeight="1">
      <c r="C140" s="29" t="s">
        <v>149</v>
      </c>
      <c r="D140" s="10">
        <f>[1]!EM_BK_FA_ALL_ASSETSTURN("001004",D22,"0")</f>
        <v>0.20067243437459595</v>
      </c>
      <c r="E140" s="10">
        <f>[1]!EM_BK_FA_ALL_ASSETSTURN("001004",E22,"0")</f>
        <v>0.22392367737638047</v>
      </c>
      <c r="F140" s="10">
        <f>[1]!EM_BK_FA_ALL_ASSETSTURN("001004",F22,"0")</f>
        <v>0.23088459359321034</v>
      </c>
      <c r="G140" s="10">
        <f>[1]!EM_BK_FA_ALL_ASSETSTURN("001004",G22,"0")</f>
        <v>0.21852550999031659</v>
      </c>
      <c r="H140" s="10">
        <f>[1]!EM_BK_FA_ALL_ASSETSTURN("001004",H22,"0")</f>
        <v>0.21238013179271539</v>
      </c>
      <c r="I140" s="10">
        <f>[1]!EM_BK_FA_ALL_ASSETSTURN("001004",I22,"0")</f>
        <v>0.2015269820804089</v>
      </c>
      <c r="J140" s="10">
        <f>[1]!EM_BK_FA_ALL_ASSETSTURN("001004",J22,"0")</f>
        <v>0.18153960814754702</v>
      </c>
      <c r="K140" s="10">
        <f>[1]!EM_BK_FA_ALL_ASSETSTURN("001004",K22,"0")</f>
        <v>0.17361331697682575</v>
      </c>
      <c r="L140" s="10">
        <f>[1]!EM_BK_FA_ALL_ASSETSTURN("001004",L22,"0")</f>
        <v>0.18560067141007283</v>
      </c>
      <c r="M140" s="10">
        <f>[1]!EM_BK_FA_ALL_ASSETSTURN("001004",M22,"0")</f>
        <v>0.19282208058194178</v>
      </c>
      <c r="N140" s="73"/>
    </row>
    <row r="162" spans="1:14" ht="14.7" thickBot="1">
      <c r="C162" s="62"/>
      <c r="D162" s="63"/>
      <c r="E162" s="63"/>
      <c r="F162" s="63"/>
      <c r="G162" s="63"/>
      <c r="H162" s="63"/>
      <c r="I162" s="63"/>
      <c r="J162" s="63"/>
      <c r="K162" s="63"/>
      <c r="L162" s="63"/>
      <c r="M162" s="63"/>
      <c r="N162" s="63"/>
    </row>
    <row r="163" spans="1:14" ht="13.5" customHeight="1">
      <c r="C163" s="100" t="s">
        <v>150</v>
      </c>
      <c r="D163" s="101"/>
      <c r="E163" s="101"/>
      <c r="F163" s="101"/>
      <c r="G163" s="101"/>
      <c r="H163" s="101"/>
      <c r="I163" s="101"/>
      <c r="J163" s="101"/>
      <c r="K163" s="101"/>
      <c r="L163" s="101"/>
      <c r="M163" s="101"/>
      <c r="N163" s="102"/>
    </row>
    <row r="164" spans="1:14">
      <c r="C164" s="103"/>
      <c r="D164" s="68"/>
      <c r="E164" s="68"/>
      <c r="F164" s="68"/>
      <c r="G164" s="68"/>
      <c r="H164" s="68"/>
      <c r="I164" s="68"/>
      <c r="J164" s="68"/>
      <c r="K164" s="68"/>
      <c r="L164" s="68"/>
      <c r="M164" s="68"/>
      <c r="N164" s="104"/>
    </row>
    <row r="165" spans="1:14">
      <c r="C165" s="103"/>
      <c r="D165" s="68"/>
      <c r="E165" s="68"/>
      <c r="F165" s="68"/>
      <c r="G165" s="68"/>
      <c r="H165" s="68"/>
      <c r="I165" s="68"/>
      <c r="J165" s="68"/>
      <c r="K165" s="68"/>
      <c r="L165" s="68"/>
      <c r="M165" s="68"/>
      <c r="N165" s="104"/>
    </row>
    <row r="166" spans="1:14" ht="14.7" thickBot="1">
      <c r="C166" s="105"/>
      <c r="D166" s="106"/>
      <c r="E166" s="106"/>
      <c r="F166" s="106"/>
      <c r="G166" s="106"/>
      <c r="H166" s="106"/>
      <c r="I166" s="106"/>
      <c r="J166" s="106"/>
      <c r="K166" s="106"/>
      <c r="L166" s="106"/>
      <c r="M166" s="106"/>
      <c r="N166" s="107"/>
    </row>
    <row r="167" spans="1:14">
      <c r="C167" s="62"/>
      <c r="D167" s="63"/>
      <c r="E167" s="63"/>
      <c r="F167" s="63"/>
      <c r="G167" s="63"/>
      <c r="H167" s="63"/>
      <c r="I167" s="63"/>
      <c r="J167" s="63"/>
      <c r="K167" s="63"/>
      <c r="L167" s="63"/>
      <c r="M167" s="63"/>
      <c r="N167" s="63"/>
    </row>
    <row r="168" spans="1:14">
      <c r="C168" s="23"/>
      <c r="D168" s="24"/>
      <c r="E168" s="24"/>
      <c r="F168" s="24"/>
      <c r="G168" s="24"/>
      <c r="H168" s="24"/>
      <c r="I168" s="24"/>
      <c r="J168" s="24"/>
      <c r="K168" s="24"/>
      <c r="L168" s="24"/>
      <c r="M168" s="24"/>
      <c r="N168" s="24"/>
    </row>
    <row r="169" spans="1:14">
      <c r="C169" s="23"/>
      <c r="D169" s="24"/>
      <c r="E169" s="24"/>
      <c r="F169" s="24"/>
      <c r="G169" s="24"/>
      <c r="H169" s="24"/>
      <c r="I169" s="24"/>
      <c r="J169" s="24"/>
      <c r="K169" s="24"/>
      <c r="L169" s="24"/>
      <c r="M169" s="24"/>
      <c r="N169" s="24"/>
    </row>
    <row r="170" spans="1:14">
      <c r="C170" s="23"/>
      <c r="D170" s="24"/>
      <c r="E170" s="24"/>
      <c r="F170" s="24"/>
      <c r="G170" s="24"/>
      <c r="H170" s="24"/>
      <c r="I170" s="24"/>
      <c r="J170" s="24"/>
      <c r="K170" s="24"/>
      <c r="L170" s="24"/>
      <c r="M170" s="24"/>
      <c r="N170" s="24"/>
    </row>
    <row r="171" spans="1:14">
      <c r="C171" s="23"/>
      <c r="D171" s="24"/>
      <c r="E171" s="24"/>
      <c r="F171" s="24"/>
      <c r="G171" s="24"/>
      <c r="H171" s="24"/>
      <c r="I171" s="24"/>
      <c r="J171" s="24"/>
      <c r="K171" s="24"/>
      <c r="L171" s="24"/>
      <c r="M171" s="24"/>
      <c r="N171" s="24"/>
    </row>
    <row r="172" spans="1:14">
      <c r="C172" s="15"/>
      <c r="D172" s="15"/>
      <c r="E172" s="15"/>
      <c r="F172" s="15"/>
      <c r="G172" s="15"/>
      <c r="H172" s="15"/>
      <c r="I172" s="15"/>
      <c r="J172" s="15"/>
      <c r="K172" s="15"/>
      <c r="L172" s="15"/>
      <c r="M172" s="15"/>
      <c r="N172" s="15"/>
    </row>
    <row r="174" spans="1:14" ht="13.5" customHeight="1">
      <c r="A174" s="98" t="s">
        <v>181</v>
      </c>
      <c r="B174" s="94" t="s">
        <v>182</v>
      </c>
      <c r="C174" s="94"/>
    </row>
    <row r="175" spans="1:14" ht="13.5" customHeight="1">
      <c r="A175" s="98"/>
      <c r="B175" s="94"/>
      <c r="C175" s="94"/>
    </row>
    <row r="176" spans="1:14" ht="13.5" customHeight="1">
      <c r="A176" s="98"/>
      <c r="B176" s="94"/>
      <c r="C176" s="94"/>
      <c r="D176" s="48" t="str">
        <f>D$21</f>
        <v>0.5%</v>
      </c>
      <c r="E176" s="48" t="str">
        <f t="shared" ref="E176:M176" si="5">E$21</f>
        <v>0.5%</v>
      </c>
      <c r="F176" s="48" t="str">
        <f t="shared" si="5"/>
        <v>0.5%</v>
      </c>
      <c r="G176" s="48" t="str">
        <f t="shared" si="5"/>
        <v>0.5%</v>
      </c>
      <c r="H176" s="48" t="str">
        <f t="shared" si="5"/>
        <v>0.5%</v>
      </c>
      <c r="I176" s="48" t="str">
        <f t="shared" si="5"/>
        <v>1%</v>
      </c>
      <c r="J176" s="48" t="str">
        <f t="shared" si="5"/>
        <v>5%</v>
      </c>
      <c r="K176" s="48" t="str">
        <f t="shared" si="5"/>
        <v>20%</v>
      </c>
      <c r="L176" s="48" t="str">
        <f t="shared" si="5"/>
        <v>30%</v>
      </c>
      <c r="M176" s="48" t="str">
        <f t="shared" si="5"/>
        <v>40%</v>
      </c>
    </row>
    <row r="177" spans="3:15" ht="13.5" customHeight="1">
      <c r="D177" s="27" t="str">
        <f>D$22</f>
        <v>2009-12-31</v>
      </c>
      <c r="E177" s="27" t="str">
        <f t="shared" ref="E177:M177" si="6">E$22</f>
        <v>2010-12-31</v>
      </c>
      <c r="F177" s="27" t="str">
        <f t="shared" si="6"/>
        <v>2011-12-31</v>
      </c>
      <c r="G177" s="27" t="str">
        <f t="shared" si="6"/>
        <v>2012-12-31</v>
      </c>
      <c r="H177" s="27" t="str">
        <f t="shared" si="6"/>
        <v>2013-12-31</v>
      </c>
      <c r="I177" s="27" t="str">
        <f t="shared" si="6"/>
        <v>2014-12-31</v>
      </c>
      <c r="J177" s="27" t="str">
        <f t="shared" si="6"/>
        <v>2015-12-31</v>
      </c>
      <c r="K177" s="27" t="str">
        <f t="shared" si="6"/>
        <v>2016-12-31</v>
      </c>
      <c r="L177" s="27" t="str">
        <f t="shared" si="6"/>
        <v>2017-12-31</v>
      </c>
      <c r="M177" s="27" t="str">
        <f t="shared" si="6"/>
        <v>2018-12-31</v>
      </c>
      <c r="N177" s="28" t="s">
        <v>119</v>
      </c>
    </row>
    <row r="178" spans="3:15" ht="13.5" customHeight="1">
      <c r="C178" s="29" t="str">
        <f>C138</f>
        <v>贵州茅台</v>
      </c>
      <c r="D178" s="10">
        <f>[1]!EM_S_FA_EPS_BASIC($C$9,D22)</f>
        <v>4.57</v>
      </c>
      <c r="E178" s="10">
        <f>[1]!EM_S_FA_EPS_BASIC($C$9,E22)</f>
        <v>5.35</v>
      </c>
      <c r="F178" s="10">
        <f>[1]!EM_S_FA_EPS_BASIC($C$9,F22)</f>
        <v>8.44</v>
      </c>
      <c r="G178" s="10">
        <f>[1]!EM_S_FA_EPS_BASIC($C$9,G22)</f>
        <v>12.82</v>
      </c>
      <c r="H178" s="10">
        <f>[1]!EM_S_FA_EPS_BASIC($C$9,H22)</f>
        <v>14.58</v>
      </c>
      <c r="I178" s="10">
        <f>[1]!EM_S_FA_EPS_BASIC($C$9,I22)</f>
        <v>13.44</v>
      </c>
      <c r="J178" s="10">
        <f>[1]!EM_S_FA_EPS_BASIC($C$9,J22)</f>
        <v>12.34</v>
      </c>
      <c r="K178" s="10">
        <f>[1]!EM_S_FA_EPS_BASIC($C$9,K22)</f>
        <v>13.31</v>
      </c>
      <c r="L178" s="10">
        <f>[1]!EM_S_FA_EPS_BASIC($C$9,L22)</f>
        <v>21.56</v>
      </c>
      <c r="M178" s="10">
        <f>[1]!EM_S_FA_EPS_BASIC($C$9,M22)</f>
        <v>28.02</v>
      </c>
      <c r="N178" s="73" t="str">
        <f>IFERROR(IF(O178&gt;O179,"优","差"),"")</f>
        <v>优</v>
      </c>
      <c r="O178" s="46">
        <f>(M178*M176)+(L178*L176)+(K178*K176)+(J178*J176)+(I178*I176)+(H178*H176)+(G178*G176)+(F178*F176)+(E178*E176)+(D178*D176)</f>
        <v>21.318199999999997</v>
      </c>
    </row>
    <row r="179" spans="3:15" ht="13.5" customHeight="1">
      <c r="C179" s="29" t="str">
        <f>C139</f>
        <v>饮料</v>
      </c>
      <c r="D179" s="10">
        <f>[1]!EM_BK_FA_AVG_EPS_BASIC($G$9,D22,"0")</f>
        <v>0.59156944444444448</v>
      </c>
      <c r="E179" s="10">
        <f>[1]!EM_BK_FA_AVG_EPS_BASIC($G$9,E22,"0")</f>
        <v>0.7824472222222224</v>
      </c>
      <c r="F179" s="10">
        <f>[1]!EM_BK_FA_AVG_EPS_BASIC($G$9,F22,"0")</f>
        <v>0.95146666666666679</v>
      </c>
      <c r="G179" s="10">
        <f>[1]!EM_BK_FA_AVG_EPS_BASIC($G$9,G22,"0")</f>
        <v>1.1282125000000003</v>
      </c>
      <c r="H179" s="10">
        <f>[1]!EM_BK_FA_AVG_EPS_BASIC($G$9,H22,"0")</f>
        <v>0.99202142857142883</v>
      </c>
      <c r="I179" s="10">
        <f>[1]!EM_BK_FA_AVG_EPS_BASIC($G$9,I22,"0")</f>
        <v>0.859757142857143</v>
      </c>
      <c r="J179" s="10">
        <f>[1]!EM_BK_FA_AVG_EPS_BASIC($G$9,J22,"0")</f>
        <v>0.91912380952380957</v>
      </c>
      <c r="K179" s="10">
        <f>[1]!EM_BK_FA_AVG_EPS_BASIC($G$9,K22,"0")</f>
        <v>0.9397333333333332</v>
      </c>
      <c r="L179" s="10">
        <f>[1]!EM_BK_FA_AVG_EPS_BASIC($G$9,L22,"0")</f>
        <v>1.1974880952380953</v>
      </c>
      <c r="M179" s="10">
        <f>[1]!EM_BK_FA_AVG_EPS_BASIC($G$9,M22,"0")</f>
        <v>1.4986190476190475</v>
      </c>
      <c r="N179" s="73"/>
      <c r="O179" s="46">
        <f>(M179*M176)+(L179*L176)+(K179*K176)+(J179*J176)+(I179*I176)+(H179*H176)+(G179*G176)+(F179*F176)+(E179*E176)+(D179*D176)</f>
        <v>1.2234230625</v>
      </c>
    </row>
    <row r="180" spans="3:15" ht="13.5" customHeight="1">
      <c r="C180" s="29" t="s">
        <v>138</v>
      </c>
      <c r="D180" s="10">
        <f>[1]!EM_BK_FA_AVG_EPS_BASIC("001004",D22,"0")</f>
        <v>0.44109385848318938</v>
      </c>
      <c r="E180" s="10">
        <f>[1]!EM_BK_FA_AVG_EPS_BASIC("001004",E22,"0")</f>
        <v>0.52886087962962991</v>
      </c>
      <c r="F180" s="10">
        <f>[1]!EM_BK_FA_AVG_EPS_BASIC("001004",F22,"0")</f>
        <v>0.51643749999999988</v>
      </c>
      <c r="G180" s="10">
        <f>[1]!EM_BK_FA_AVG_EPS_BASIC("001004",G22,"0")</f>
        <v>0.44861871202916054</v>
      </c>
      <c r="H180" s="10">
        <f>[1]!EM_BK_FA_AVG_EPS_BASIC("001004",H22,"0")</f>
        <v>0.46008109467943048</v>
      </c>
      <c r="I180" s="10">
        <f>[1]!EM_BK_FA_AVG_EPS_BASIC("001004",I22,"0")</f>
        <v>0.45710106891701735</v>
      </c>
      <c r="J180" s="10">
        <f>[1]!EM_BK_FA_AVG_EPS_BASIC("001004",J22,"0")</f>
        <v>0.41912959211606826</v>
      </c>
      <c r="K180" s="10">
        <f>[1]!EM_BK_FA_AVG_EPS_BASIC("001004",K22,"0")</f>
        <v>0.46716376654958125</v>
      </c>
      <c r="L180" s="10">
        <f>[1]!EM_BK_FA_AVG_EPS_BASIC("001004",L22,"0")</f>
        <v>0.47891506996770877</v>
      </c>
      <c r="M180" s="10">
        <f>[1]!EM_BK_FA_AVG_EPS_BASIC("001004",M22,"0")</f>
        <v>0.36292624094445786</v>
      </c>
      <c r="N180" s="73"/>
    </row>
    <row r="202" spans="3:14" ht="14.7" thickBot="1">
      <c r="C202" s="62"/>
      <c r="D202" s="63"/>
      <c r="E202" s="63"/>
      <c r="F202" s="63"/>
      <c r="G202" s="63"/>
      <c r="H202" s="63"/>
      <c r="I202" s="63"/>
      <c r="J202" s="63"/>
      <c r="K202" s="63"/>
      <c r="L202" s="63"/>
      <c r="M202" s="63"/>
      <c r="N202" s="63"/>
    </row>
    <row r="203" spans="3:14" ht="13.5" customHeight="1">
      <c r="C203" s="100" t="s">
        <v>183</v>
      </c>
      <c r="D203" s="101"/>
      <c r="E203" s="101"/>
      <c r="F203" s="101"/>
      <c r="G203" s="101"/>
      <c r="H203" s="101"/>
      <c r="I203" s="101"/>
      <c r="J203" s="101"/>
      <c r="K203" s="101"/>
      <c r="L203" s="101"/>
      <c r="M203" s="101"/>
      <c r="N203" s="102"/>
    </row>
    <row r="204" spans="3:14">
      <c r="C204" s="103"/>
      <c r="D204" s="68"/>
      <c r="E204" s="68"/>
      <c r="F204" s="68"/>
      <c r="G204" s="68"/>
      <c r="H204" s="68"/>
      <c r="I204" s="68"/>
      <c r="J204" s="68"/>
      <c r="K204" s="68"/>
      <c r="L204" s="68"/>
      <c r="M204" s="68"/>
      <c r="N204" s="104"/>
    </row>
    <row r="205" spans="3:14" ht="14.7" thickBot="1">
      <c r="C205" s="105"/>
      <c r="D205" s="106"/>
      <c r="E205" s="106"/>
      <c r="F205" s="106"/>
      <c r="G205" s="106"/>
      <c r="H205" s="106"/>
      <c r="I205" s="106"/>
      <c r="J205" s="106"/>
      <c r="K205" s="106"/>
      <c r="L205" s="106"/>
      <c r="M205" s="106"/>
      <c r="N205" s="107"/>
    </row>
    <row r="206" spans="3:14">
      <c r="C206" s="62"/>
      <c r="D206" s="63"/>
      <c r="E206" s="63"/>
      <c r="F206" s="63"/>
      <c r="G206" s="63"/>
      <c r="H206" s="63"/>
      <c r="I206" s="63"/>
      <c r="J206" s="63"/>
      <c r="K206" s="63"/>
      <c r="L206" s="63"/>
      <c r="M206" s="63"/>
      <c r="N206" s="63"/>
    </row>
    <row r="210" spans="1:15">
      <c r="C210" s="15"/>
      <c r="D210" s="15"/>
      <c r="E210" s="15"/>
      <c r="F210" s="15"/>
      <c r="G210" s="15"/>
      <c r="H210" s="15"/>
      <c r="I210" s="15"/>
      <c r="J210" s="15"/>
      <c r="K210" s="15"/>
      <c r="L210" s="15"/>
      <c r="M210" s="15"/>
      <c r="N210" s="15"/>
    </row>
    <row r="212" spans="1:15" ht="13.5" customHeight="1">
      <c r="A212" s="98" t="s">
        <v>154</v>
      </c>
      <c r="B212" s="94" t="s">
        <v>184</v>
      </c>
      <c r="C212" s="94"/>
    </row>
    <row r="213" spans="1:15" ht="13.5" customHeight="1">
      <c r="A213" s="98"/>
      <c r="B213" s="94"/>
      <c r="C213" s="94"/>
    </row>
    <row r="214" spans="1:15" ht="13.5" customHeight="1">
      <c r="A214" s="98"/>
      <c r="B214" s="94"/>
      <c r="C214" s="94"/>
      <c r="D214" s="48" t="str">
        <f>D$21</f>
        <v>0.5%</v>
      </c>
      <c r="E214" s="48" t="str">
        <f t="shared" ref="E214:M214" si="7">E$21</f>
        <v>0.5%</v>
      </c>
      <c r="F214" s="48" t="str">
        <f t="shared" si="7"/>
        <v>0.5%</v>
      </c>
      <c r="G214" s="48" t="str">
        <f t="shared" si="7"/>
        <v>0.5%</v>
      </c>
      <c r="H214" s="48" t="str">
        <f t="shared" si="7"/>
        <v>0.5%</v>
      </c>
      <c r="I214" s="48" t="str">
        <f t="shared" si="7"/>
        <v>1%</v>
      </c>
      <c r="J214" s="48" t="str">
        <f t="shared" si="7"/>
        <v>5%</v>
      </c>
      <c r="K214" s="48" t="str">
        <f t="shared" si="7"/>
        <v>20%</v>
      </c>
      <c r="L214" s="48" t="str">
        <f t="shared" si="7"/>
        <v>30%</v>
      </c>
      <c r="M214" s="48" t="str">
        <f t="shared" si="7"/>
        <v>40%</v>
      </c>
      <c r="N214" s="39"/>
    </row>
    <row r="215" spans="1:15" ht="13.5" customHeight="1">
      <c r="D215" s="27" t="str">
        <f>D$22</f>
        <v>2009-12-31</v>
      </c>
      <c r="E215" s="27" t="str">
        <f t="shared" ref="E215:M215" si="8">E$22</f>
        <v>2010-12-31</v>
      </c>
      <c r="F215" s="27" t="str">
        <f t="shared" si="8"/>
        <v>2011-12-31</v>
      </c>
      <c r="G215" s="27" t="str">
        <f t="shared" si="8"/>
        <v>2012-12-31</v>
      </c>
      <c r="H215" s="27" t="str">
        <f t="shared" si="8"/>
        <v>2013-12-31</v>
      </c>
      <c r="I215" s="27" t="str">
        <f t="shared" si="8"/>
        <v>2014-12-31</v>
      </c>
      <c r="J215" s="27" t="str">
        <f t="shared" si="8"/>
        <v>2015-12-31</v>
      </c>
      <c r="K215" s="27" t="str">
        <f t="shared" si="8"/>
        <v>2016-12-31</v>
      </c>
      <c r="L215" s="27" t="str">
        <f t="shared" si="8"/>
        <v>2017-12-31</v>
      </c>
      <c r="M215" s="27" t="str">
        <f t="shared" si="8"/>
        <v>2018-12-31</v>
      </c>
      <c r="N215" s="28" t="s">
        <v>156</v>
      </c>
    </row>
    <row r="216" spans="1:15" ht="13.5" customHeight="1">
      <c r="C216" s="29" t="str">
        <f>C178</f>
        <v>贵州茅台</v>
      </c>
      <c r="D216" s="10">
        <f>[1]!EM_S_FA_BPS($C$9,D22)</f>
        <v>15.33</v>
      </c>
      <c r="E216" s="10">
        <f>[1]!EM_S_FA_BPS($C$9,E22)</f>
        <v>19.489999999999998</v>
      </c>
      <c r="F216" s="10">
        <f>[1]!EM_S_FA_BPS($C$9,F22)</f>
        <v>24.07</v>
      </c>
      <c r="G216" s="10">
        <f>[1]!EM_S_FA_BPS($C$9,G22)</f>
        <v>32.893769985629</v>
      </c>
      <c r="H216" s="10">
        <f>[1]!EM_S_FA_BPS($C$9,H22)</f>
        <v>41.054746275028997</v>
      </c>
      <c r="I216" s="10">
        <f>[1]!EM_S_FA_BPS($C$9,I22)</f>
        <v>46.786774097756997</v>
      </c>
      <c r="J216" s="10">
        <f>[1]!EM_S_FA_BPS($C$9,J22)</f>
        <v>50.888465525882999</v>
      </c>
      <c r="K216" s="10">
        <f>[1]!EM_S_FA_BPS($C$9,K22)</f>
        <v>58.027595481578999</v>
      </c>
      <c r="L216" s="10">
        <f>[1]!EM_S_FA_BPS($C$9,L22)</f>
        <v>72.800257116324005</v>
      </c>
      <c r="M216" s="10">
        <f>[1]!EM_S_FA_BPS($C$9,M22)</f>
        <v>89.825475201477005</v>
      </c>
      <c r="N216" s="95" t="str">
        <f>IFERROR(IF(O216&gt;O217,"优","差"),"")</f>
        <v>优</v>
      </c>
      <c r="O216" s="46">
        <f>(M216*M214)+(L216*L214)+(K216*K214)+(J216*J214)+(I216*I214)+(H216*H214)+(G216*G214)+(F216*F214)+(E216*E214)+(D216*D214)</f>
        <v>73.052269910378811</v>
      </c>
    </row>
    <row r="217" spans="1:15" ht="13.5" customHeight="1">
      <c r="C217" s="29" t="str">
        <f>C179</f>
        <v>饮料</v>
      </c>
      <c r="D217" s="10">
        <f>[1]!EM_BK_FA_ALL_BPS($G$9,D22,"0")</f>
        <v>4.3122685468328923</v>
      </c>
      <c r="E217" s="10">
        <f>[1]!EM_BK_FA_ALL_BPS($G$9,E22,"0")</f>
        <v>5.0015295684010983</v>
      </c>
      <c r="F217" s="10">
        <f>[1]!EM_BK_FA_ALL_BPS($G$9,F22,"0")</f>
        <v>5.8473068672826267</v>
      </c>
      <c r="G217" s="10">
        <f>[1]!EM_BK_FA_ALL_BPS($G$9,G22,"0")</f>
        <v>6.5811976308220013</v>
      </c>
      <c r="H217" s="10">
        <f>[1]!EM_BK_FA_ALL_BPS($G$9,H22,"0")</f>
        <v>7.470929103809496</v>
      </c>
      <c r="I217" s="10">
        <f>[1]!EM_BK_FA_ALL_BPS($G$9,I22,"0")</f>
        <v>7.8896479630839238</v>
      </c>
      <c r="J217" s="10">
        <f>[1]!EM_BK_FA_ALL_BPS($G$9,J22,"0")</f>
        <v>8.5675624407323152</v>
      </c>
      <c r="K217" s="10">
        <f>[1]!EM_BK_FA_ALL_BPS($G$9,K22,"0")</f>
        <v>8.8234119280757017</v>
      </c>
      <c r="L217" s="10">
        <f>[1]!EM_BK_FA_ALL_BPS($G$9,L22,"0")</f>
        <v>9.9502819978886148</v>
      </c>
      <c r="M217" s="10">
        <f>[1]!EM_BK_FA_ALL_BPS($G$9,M22,"0")</f>
        <v>10.768681267229288</v>
      </c>
      <c r="N217" s="96"/>
      <c r="O217" s="46">
        <f>(M217*M214)+(L217*L214)+(K217*K214)+(J217*J214)+(I217*I214)+(H217*H214)+(G217*G214)+(F217*F214)+(E217*E214)+(D217*D214)</f>
        <v>9.7105802521266344</v>
      </c>
    </row>
    <row r="218" spans="1:15" ht="13.5" customHeight="1">
      <c r="C218" s="29" t="str">
        <f>C180</f>
        <v>全市场</v>
      </c>
      <c r="D218" s="10">
        <f>[1]!EM_BK_FA_ALL_BPS("001004",D22,"0")</f>
        <v>3.0255320480607391</v>
      </c>
      <c r="E218" s="10">
        <f>[1]!EM_BK_FA_ALL_BPS("001004",E22,"0")</f>
        <v>3.4049981352426455</v>
      </c>
      <c r="F218" s="10">
        <f>[1]!EM_BK_FA_ALL_BPS("001004",F22,"0")</f>
        <v>3.7427597897982086</v>
      </c>
      <c r="G218" s="10">
        <f>[1]!EM_BK_FA_ALL_BPS("001004",G22,"0")</f>
        <v>4.0605029974905689</v>
      </c>
      <c r="H218" s="10">
        <f>[1]!EM_BK_FA_ALL_BPS("001004",H22,"0")</f>
        <v>4.3036266425089522</v>
      </c>
      <c r="I218" s="10">
        <f>[1]!EM_BK_FA_ALL_BPS("001004",I22,"0")</f>
        <v>4.6568330834514589</v>
      </c>
      <c r="J218" s="10">
        <f>[1]!EM_BK_FA_ALL_BPS("001004",J22,"0")</f>
        <v>4.8815774429544874</v>
      </c>
      <c r="K218" s="10">
        <f>[1]!EM_BK_FA_ALL_BPS("001004",K22,"0")</f>
        <v>5.0631486837072783</v>
      </c>
      <c r="L218" s="10">
        <f>[1]!EM_BK_FA_ALL_BPS("001004",L22,"0")</f>
        <v>5.3045735023955416</v>
      </c>
      <c r="M218" s="10">
        <f>[1]!EM_BK_FA_ALL_BPS("001004",M22,"0")</f>
        <v>5.4884972141116366</v>
      </c>
      <c r="N218" s="97"/>
    </row>
    <row r="240" spans="3:14" ht="14.7" thickBot="1">
      <c r="C240" s="62"/>
      <c r="D240" s="62"/>
      <c r="E240" s="62"/>
      <c r="F240" s="62"/>
      <c r="G240" s="62"/>
      <c r="H240" s="62"/>
      <c r="I240" s="62"/>
      <c r="J240" s="62"/>
      <c r="K240" s="62"/>
      <c r="L240" s="62"/>
      <c r="M240" s="62"/>
      <c r="N240" s="62"/>
    </row>
    <row r="241" spans="1:15" ht="13.5" customHeight="1">
      <c r="C241" s="100" t="s">
        <v>187</v>
      </c>
      <c r="D241" s="101"/>
      <c r="E241" s="101"/>
      <c r="F241" s="101"/>
      <c r="G241" s="101"/>
      <c r="H241" s="101"/>
      <c r="I241" s="101"/>
      <c r="J241" s="101"/>
      <c r="K241" s="101"/>
      <c r="L241" s="101"/>
      <c r="M241" s="101"/>
      <c r="N241" s="102"/>
    </row>
    <row r="242" spans="1:15" ht="14.7" thickBot="1">
      <c r="C242" s="105"/>
      <c r="D242" s="106"/>
      <c r="E242" s="106"/>
      <c r="F242" s="106"/>
      <c r="G242" s="106"/>
      <c r="H242" s="106"/>
      <c r="I242" s="106"/>
      <c r="J242" s="106"/>
      <c r="K242" s="106"/>
      <c r="L242" s="106"/>
      <c r="M242" s="106"/>
      <c r="N242" s="107"/>
    </row>
    <row r="243" spans="1:15">
      <c r="C243" s="62"/>
      <c r="D243" s="62"/>
      <c r="E243" s="62"/>
      <c r="F243" s="62"/>
      <c r="G243" s="62"/>
      <c r="H243" s="62"/>
      <c r="I243" s="62"/>
      <c r="J243" s="62"/>
      <c r="K243" s="62"/>
      <c r="L243" s="62"/>
      <c r="M243" s="62"/>
      <c r="N243" s="62"/>
    </row>
    <row r="244" spans="1:15">
      <c r="C244" s="23"/>
      <c r="D244" s="23"/>
      <c r="E244" s="23"/>
      <c r="F244" s="23"/>
      <c r="G244" s="23"/>
      <c r="H244" s="23"/>
      <c r="I244" s="23"/>
      <c r="J244" s="23"/>
      <c r="K244" s="23"/>
      <c r="L244" s="23"/>
      <c r="M244" s="23"/>
      <c r="N244" s="23"/>
    </row>
    <row r="245" spans="1:15">
      <c r="C245" s="23"/>
      <c r="D245" s="23"/>
      <c r="E245" s="23"/>
      <c r="F245" s="23"/>
      <c r="G245" s="23"/>
      <c r="H245" s="23"/>
      <c r="I245" s="23"/>
      <c r="J245" s="23"/>
      <c r="K245" s="23"/>
      <c r="L245" s="23"/>
      <c r="M245" s="23"/>
      <c r="N245" s="23"/>
    </row>
    <row r="246" spans="1:15">
      <c r="C246" s="23"/>
      <c r="D246" s="23"/>
      <c r="E246" s="23"/>
      <c r="F246" s="23"/>
      <c r="G246" s="23"/>
      <c r="H246" s="23"/>
      <c r="I246" s="23"/>
      <c r="J246" s="23"/>
      <c r="K246" s="23"/>
      <c r="L246" s="23"/>
      <c r="M246" s="23"/>
      <c r="N246" s="23"/>
    </row>
    <row r="247" spans="1:15">
      <c r="C247" s="23"/>
      <c r="D247" s="23"/>
      <c r="E247" s="23"/>
      <c r="F247" s="23"/>
      <c r="G247" s="23"/>
      <c r="H247" s="23"/>
      <c r="I247" s="23"/>
      <c r="J247" s="23"/>
      <c r="K247" s="23"/>
      <c r="L247" s="23"/>
      <c r="M247" s="23"/>
      <c r="N247" s="23"/>
    </row>
    <row r="248" spans="1:15">
      <c r="C248" s="23"/>
      <c r="D248" s="23"/>
      <c r="E248" s="23"/>
      <c r="F248" s="23"/>
      <c r="G248" s="23"/>
      <c r="H248" s="23"/>
      <c r="I248" s="23"/>
      <c r="J248" s="23"/>
      <c r="K248" s="23"/>
      <c r="L248" s="23"/>
      <c r="M248" s="23"/>
      <c r="N248" s="23"/>
    </row>
    <row r="249" spans="1:15">
      <c r="C249" s="15"/>
      <c r="D249" s="15"/>
      <c r="E249" s="15"/>
      <c r="F249" s="15"/>
      <c r="G249" s="15"/>
      <c r="H249" s="15"/>
      <c r="I249" s="15"/>
      <c r="J249" s="15"/>
      <c r="K249" s="15"/>
      <c r="L249" s="15"/>
      <c r="M249" s="15"/>
      <c r="N249" s="15"/>
    </row>
    <row r="250" spans="1:15" ht="13.5" customHeight="1">
      <c r="A250" s="98" t="s">
        <v>185</v>
      </c>
      <c r="B250" s="99" t="s">
        <v>211</v>
      </c>
      <c r="C250" s="99"/>
    </row>
    <row r="251" spans="1:15" ht="13.5" customHeight="1">
      <c r="A251" s="98"/>
      <c r="B251" s="99"/>
      <c r="C251" s="99"/>
    </row>
    <row r="252" spans="1:15" ht="13.5" customHeight="1">
      <c r="A252" s="98"/>
      <c r="B252" s="99"/>
      <c r="C252" s="99"/>
      <c r="D252" s="48" t="str">
        <f>D$21</f>
        <v>0.5%</v>
      </c>
      <c r="E252" s="48" t="str">
        <f t="shared" ref="E252:M252" si="9">E$21</f>
        <v>0.5%</v>
      </c>
      <c r="F252" s="48" t="str">
        <f t="shared" si="9"/>
        <v>0.5%</v>
      </c>
      <c r="G252" s="48" t="str">
        <f t="shared" si="9"/>
        <v>0.5%</v>
      </c>
      <c r="H252" s="48" t="str">
        <f t="shared" si="9"/>
        <v>0.5%</v>
      </c>
      <c r="I252" s="48" t="str">
        <f t="shared" si="9"/>
        <v>1%</v>
      </c>
      <c r="J252" s="48" t="str">
        <f t="shared" si="9"/>
        <v>5%</v>
      </c>
      <c r="K252" s="48" t="str">
        <f t="shared" si="9"/>
        <v>20%</v>
      </c>
      <c r="L252" s="48" t="str">
        <f t="shared" si="9"/>
        <v>30%</v>
      </c>
      <c r="M252" s="48" t="str">
        <f t="shared" si="9"/>
        <v>40%</v>
      </c>
    </row>
    <row r="253" spans="1:15" ht="13.5" customHeight="1">
      <c r="B253" s="99"/>
      <c r="C253" s="99"/>
      <c r="D253" s="27" t="str">
        <f>D$22</f>
        <v>2009-12-31</v>
      </c>
      <c r="E253" s="27" t="str">
        <f t="shared" ref="E253:M253" si="10">E$22</f>
        <v>2010-12-31</v>
      </c>
      <c r="F253" s="27" t="str">
        <f t="shared" si="10"/>
        <v>2011-12-31</v>
      </c>
      <c r="G253" s="27" t="str">
        <f t="shared" si="10"/>
        <v>2012-12-31</v>
      </c>
      <c r="H253" s="27" t="str">
        <f t="shared" si="10"/>
        <v>2013-12-31</v>
      </c>
      <c r="I253" s="27" t="str">
        <f t="shared" si="10"/>
        <v>2014-12-31</v>
      </c>
      <c r="J253" s="27" t="str">
        <f t="shared" si="10"/>
        <v>2015-12-31</v>
      </c>
      <c r="K253" s="27" t="str">
        <f t="shared" si="10"/>
        <v>2016-12-31</v>
      </c>
      <c r="L253" s="27" t="str">
        <f t="shared" si="10"/>
        <v>2017-12-31</v>
      </c>
      <c r="M253" s="27" t="str">
        <f t="shared" si="10"/>
        <v>2018-12-31</v>
      </c>
      <c r="N253" s="28" t="s">
        <v>156</v>
      </c>
    </row>
    <row r="254" spans="1:15" ht="13.5" customHeight="1">
      <c r="C254" s="29" t="str">
        <f>C216</f>
        <v>贵州茅台</v>
      </c>
      <c r="D254" s="10">
        <f>[1]!EM_S_FA_YOYNETPROFIT($C$9,D22)</f>
        <v>13.50093936054151</v>
      </c>
      <c r="E254" s="10">
        <f>[1]!EM_S_FA_YOYNETPROFIT($C$9,E22)</f>
        <v>17.130604584103729</v>
      </c>
      <c r="F254" s="10">
        <f>[1]!EM_S_FA_YOYNETPROFIT($C$9,F22)</f>
        <v>73.486615869002705</v>
      </c>
      <c r="G254" s="10">
        <f>[1]!EM_S_FA_YOYNETPROFIT($C$9,G22)</f>
        <v>51.86417924805172</v>
      </c>
      <c r="H254" s="10">
        <f>[1]!EM_S_FA_YOYNETPROFIT($C$9,H22)</f>
        <v>13.740225672382206</v>
      </c>
      <c r="I254" s="10">
        <f>[1]!EM_S_FA_YOYNETPROFIT($C$9,I22)</f>
        <v>1.4082685520494056</v>
      </c>
      <c r="J254" s="10">
        <f>[1]!EM_S_FA_YOYNETPROFIT($C$9,J22)</f>
        <v>0.99861829435575744</v>
      </c>
      <c r="K254" s="10">
        <f>[1]!EM_S_FA_YOYNETPROFIT($C$9,K22)</f>
        <v>7.8389046062097014</v>
      </c>
      <c r="L254" s="10">
        <f>[1]!EM_S_FA_YOYNETPROFIT($C$9,L22)</f>
        <v>61.9737571575102</v>
      </c>
      <c r="M254" s="10">
        <f>[1]!EM_S_FA_YOYNETPROFIT($C$9,M22)</f>
        <v>30.001687376487794</v>
      </c>
      <c r="N254" s="95" t="str">
        <f>IFERROR(IF(O254&gt;O255,"优","差"),"")</f>
        <v>优</v>
      </c>
      <c r="O254" s="46">
        <f>(M254*M252)+(L254*L252)+(K254*K252)+(J254*J252)+(I254*I252)+(H254*H252)+(G254*G252)+(F254*F252)+(E254*E252)+(D254*D252)</f>
        <v>33.073209442998809</v>
      </c>
    </row>
    <row r="255" spans="1:15" ht="13.5" customHeight="1">
      <c r="C255" s="29" t="str">
        <f>C217</f>
        <v>饮料</v>
      </c>
      <c r="D255" s="10">
        <f>[1]!EM_BK_FA_ALL_YOYNETPROFIT($G$9,D22,"0")</f>
        <v>41.519047086700532</v>
      </c>
      <c r="E255" s="10">
        <f>[1]!EM_BK_FA_ALL_YOYNETPROFIT($G$9,E22,"0")</f>
        <v>32.551770749488377</v>
      </c>
      <c r="F255" s="10">
        <f>[1]!EM_BK_FA_ALL_YOYNETPROFIT($G$9,F22,"0")</f>
        <v>45.221218004264479</v>
      </c>
      <c r="G255" s="10">
        <f>[1]!EM_BK_FA_ALL_YOYNETPROFIT($G$9,G22,"0")</f>
        <v>41.812754182272343</v>
      </c>
      <c r="H255" s="10">
        <f>[1]!EM_BK_FA_ALL_YOYNETPROFIT($G$9,H22,"0")</f>
        <v>-10.866518267106922</v>
      </c>
      <c r="I255" s="10">
        <f>[1]!EM_BK_FA_ALL_YOYNETPROFIT($G$9,I22,"0")</f>
        <v>-13.136518511487521</v>
      </c>
      <c r="J255" s="10">
        <f>[1]!EM_BK_FA_ALL_YOYNETPROFIT($G$9,J22,"0")</f>
        <v>9.4309249469400278</v>
      </c>
      <c r="K255" s="10">
        <f>[1]!EM_BK_FA_ALL_YOYNETPROFIT($G$9,K22,"0")</f>
        <v>7.0966548951579362</v>
      </c>
      <c r="L255" s="10">
        <f>[1]!EM_BK_FA_ALL_YOYNETPROFIT($G$9,L22,"0")</f>
        <v>35.893196033326269</v>
      </c>
      <c r="M255" s="10">
        <f>[1]!EM_BK_FA_ALL_YOYNETPROFIT($G$9,M22,"0")</f>
        <v>30.380273249465073</v>
      </c>
      <c r="N255" s="96"/>
      <c r="O255" s="46">
        <f>(M255*M252)+(L255*L252)+(K255*K252)+(J255*J252)+(I255*I252)+(H255*H252)+(G255*G252)+(F255*F252)+(E255*E252)+(D255*D252)</f>
        <v>25.430771509825714</v>
      </c>
    </row>
    <row r="256" spans="1:15" ht="13.5" customHeight="1">
      <c r="C256" s="29" t="str">
        <f>C218</f>
        <v>全市场</v>
      </c>
      <c r="D256" s="10">
        <f>[1]!EM_BK_FA_ALL_YOYNETPROFIT("001004",D22,"0")</f>
        <v>27.802107106206503</v>
      </c>
      <c r="E256" s="10">
        <f>[1]!EM_BK_FA_ALL_YOYNETPROFIT("001004",E22,"0")</f>
        <v>36.570656535827609</v>
      </c>
      <c r="F256" s="10">
        <f>[1]!EM_BK_FA_ALL_YOYNETPROFIT("001004",F22,"0")</f>
        <v>11.776775571201807</v>
      </c>
      <c r="G256" s="10">
        <f>[1]!EM_BK_FA_ALL_YOYNETPROFIT("001004",G22,"0")</f>
        <v>0.83232736599421975</v>
      </c>
      <c r="H256" s="10">
        <f>[1]!EM_BK_FA_ALL_YOYNETPROFIT("001004",H22,"0")</f>
        <v>14.10915057973345</v>
      </c>
      <c r="I256" s="10">
        <f>[1]!EM_BK_FA_ALL_YOYNETPROFIT("001004",I22,"0")</f>
        <v>7.2670093197708843</v>
      </c>
      <c r="J256" s="10">
        <f>[1]!EM_BK_FA_ALL_YOYNETPROFIT("001004",J22,"0")</f>
        <v>1.2944001254129829</v>
      </c>
      <c r="K256" s="10">
        <f>[1]!EM_BK_FA_ALL_YOYNETPROFIT("001004",K22,"0")</f>
        <v>5.2122980130094696</v>
      </c>
      <c r="L256" s="10">
        <f>[1]!EM_BK_FA_ALL_YOYNETPROFIT("001004",L22,"0")</f>
        <v>18.170344512806501</v>
      </c>
      <c r="M256" s="10">
        <f>[1]!EM_BK_FA_ALL_YOYNETPROFIT("001004",M22,"0")</f>
        <v>-1.5732559124190251</v>
      </c>
      <c r="N256" s="97"/>
    </row>
    <row r="278" spans="1:14" ht="14.7" thickBot="1">
      <c r="C278" s="62"/>
      <c r="D278" s="62"/>
      <c r="E278" s="62"/>
      <c r="F278" s="62"/>
      <c r="G278" s="62"/>
      <c r="H278" s="62"/>
      <c r="I278" s="62"/>
      <c r="J278" s="62"/>
      <c r="K278" s="62"/>
      <c r="L278" s="62"/>
      <c r="M278" s="62"/>
      <c r="N278" s="62"/>
    </row>
    <row r="279" spans="1:14" ht="13.5" customHeight="1">
      <c r="C279" s="100" t="s">
        <v>188</v>
      </c>
      <c r="D279" s="101"/>
      <c r="E279" s="101"/>
      <c r="F279" s="101"/>
      <c r="G279" s="101"/>
      <c r="H279" s="101"/>
      <c r="I279" s="101"/>
      <c r="J279" s="101"/>
      <c r="K279" s="101"/>
      <c r="L279" s="101"/>
      <c r="M279" s="101"/>
      <c r="N279" s="102"/>
    </row>
    <row r="280" spans="1:14">
      <c r="C280" s="103"/>
      <c r="D280" s="68"/>
      <c r="E280" s="68"/>
      <c r="F280" s="68"/>
      <c r="G280" s="68"/>
      <c r="H280" s="68"/>
      <c r="I280" s="68"/>
      <c r="J280" s="68"/>
      <c r="K280" s="68"/>
      <c r="L280" s="68"/>
      <c r="M280" s="68"/>
      <c r="N280" s="104"/>
    </row>
    <row r="281" spans="1:14">
      <c r="C281" s="103"/>
      <c r="D281" s="68"/>
      <c r="E281" s="68"/>
      <c r="F281" s="68"/>
      <c r="G281" s="68"/>
      <c r="H281" s="68"/>
      <c r="I281" s="68"/>
      <c r="J281" s="68"/>
      <c r="K281" s="68"/>
      <c r="L281" s="68"/>
      <c r="M281" s="68"/>
      <c r="N281" s="104"/>
    </row>
    <row r="282" spans="1:14" ht="14.7" thickBot="1">
      <c r="C282" s="105"/>
      <c r="D282" s="106"/>
      <c r="E282" s="106"/>
      <c r="F282" s="106"/>
      <c r="G282" s="106"/>
      <c r="H282" s="106"/>
      <c r="I282" s="106"/>
      <c r="J282" s="106"/>
      <c r="K282" s="106"/>
      <c r="L282" s="106"/>
      <c r="M282" s="106"/>
      <c r="N282" s="107"/>
    </row>
    <row r="283" spans="1:14">
      <c r="C283" s="62"/>
      <c r="D283" s="62"/>
      <c r="E283" s="62"/>
      <c r="F283" s="62"/>
      <c r="G283" s="62"/>
      <c r="H283" s="62"/>
      <c r="I283" s="62"/>
      <c r="J283" s="62"/>
      <c r="K283" s="62"/>
      <c r="L283" s="62"/>
      <c r="M283" s="62"/>
      <c r="N283" s="62"/>
    </row>
    <row r="284" spans="1:14">
      <c r="C284" s="23"/>
      <c r="D284" s="23"/>
      <c r="E284" s="23"/>
      <c r="F284" s="23"/>
      <c r="G284" s="23"/>
      <c r="H284" s="23"/>
      <c r="I284" s="23"/>
      <c r="J284" s="23"/>
      <c r="K284" s="23"/>
      <c r="L284" s="23"/>
      <c r="M284" s="23"/>
      <c r="N284" s="23"/>
    </row>
    <row r="285" spans="1:14">
      <c r="C285" s="23"/>
      <c r="D285" s="23"/>
      <c r="E285" s="23"/>
      <c r="F285" s="23"/>
      <c r="G285" s="23"/>
      <c r="H285" s="23"/>
      <c r="I285" s="23"/>
      <c r="J285" s="23"/>
      <c r="K285" s="23"/>
      <c r="L285" s="23"/>
      <c r="M285" s="23"/>
      <c r="N285" s="23"/>
    </row>
    <row r="286" spans="1:14">
      <c r="C286" s="23"/>
      <c r="D286" s="23"/>
      <c r="E286" s="23"/>
      <c r="F286" s="23"/>
      <c r="G286" s="23"/>
      <c r="H286" s="23"/>
      <c r="I286" s="23"/>
      <c r="J286" s="23"/>
      <c r="K286" s="23"/>
      <c r="L286" s="23"/>
      <c r="M286" s="23"/>
      <c r="N286" s="23"/>
    </row>
    <row r="287" spans="1:14">
      <c r="C287" s="15"/>
      <c r="D287" s="15"/>
      <c r="E287" s="15"/>
      <c r="F287" s="15"/>
      <c r="G287" s="15"/>
      <c r="H287" s="15"/>
      <c r="I287" s="15"/>
      <c r="J287" s="15"/>
      <c r="K287" s="15"/>
      <c r="L287" s="15"/>
      <c r="M287" s="15"/>
      <c r="N287" s="15"/>
    </row>
    <row r="288" spans="1:14" ht="13.5" customHeight="1">
      <c r="A288" s="98" t="s">
        <v>152</v>
      </c>
      <c r="B288" s="94" t="s">
        <v>186</v>
      </c>
      <c r="C288" s="94"/>
    </row>
    <row r="289" spans="1:15" ht="13.5" customHeight="1">
      <c r="A289" s="98"/>
      <c r="B289" s="94"/>
      <c r="C289" s="94"/>
    </row>
    <row r="290" spans="1:15" ht="13.5" customHeight="1">
      <c r="A290" s="98"/>
      <c r="B290" s="94"/>
      <c r="C290" s="94"/>
      <c r="D290" s="48" t="str">
        <f>D$21</f>
        <v>0.5%</v>
      </c>
      <c r="E290" s="48" t="str">
        <f t="shared" ref="E290:M290" si="11">E$21</f>
        <v>0.5%</v>
      </c>
      <c r="F290" s="48" t="str">
        <f t="shared" si="11"/>
        <v>0.5%</v>
      </c>
      <c r="G290" s="48" t="str">
        <f t="shared" si="11"/>
        <v>0.5%</v>
      </c>
      <c r="H290" s="48" t="str">
        <f t="shared" si="11"/>
        <v>0.5%</v>
      </c>
      <c r="I290" s="48" t="str">
        <f t="shared" si="11"/>
        <v>1%</v>
      </c>
      <c r="J290" s="48" t="str">
        <f t="shared" si="11"/>
        <v>5%</v>
      </c>
      <c r="K290" s="48" t="str">
        <f t="shared" si="11"/>
        <v>20%</v>
      </c>
      <c r="L290" s="48" t="str">
        <f t="shared" si="11"/>
        <v>30%</v>
      </c>
      <c r="M290" s="48" t="str">
        <f t="shared" si="11"/>
        <v>40%</v>
      </c>
    </row>
    <row r="291" spans="1:15" ht="13.5" customHeight="1">
      <c r="D291" s="27" t="str">
        <f>D$22</f>
        <v>2009-12-31</v>
      </c>
      <c r="E291" s="27" t="str">
        <f t="shared" ref="E291:M291" si="12">E$22</f>
        <v>2010-12-31</v>
      </c>
      <c r="F291" s="27" t="str">
        <f t="shared" si="12"/>
        <v>2011-12-31</v>
      </c>
      <c r="G291" s="27" t="str">
        <f t="shared" si="12"/>
        <v>2012-12-31</v>
      </c>
      <c r="H291" s="27" t="str">
        <f t="shared" si="12"/>
        <v>2013-12-31</v>
      </c>
      <c r="I291" s="27" t="str">
        <f t="shared" si="12"/>
        <v>2014-12-31</v>
      </c>
      <c r="J291" s="27" t="str">
        <f t="shared" si="12"/>
        <v>2015-12-31</v>
      </c>
      <c r="K291" s="27" t="str">
        <f t="shared" si="12"/>
        <v>2016-12-31</v>
      </c>
      <c r="L291" s="27" t="str">
        <f t="shared" si="12"/>
        <v>2017-12-31</v>
      </c>
      <c r="M291" s="27" t="str">
        <f t="shared" si="12"/>
        <v>2018-12-31</v>
      </c>
      <c r="N291" s="28" t="s">
        <v>156</v>
      </c>
    </row>
    <row r="292" spans="1:15" ht="13.5" customHeight="1">
      <c r="C292" s="29" t="str">
        <f>C254</f>
        <v>贵州茅台</v>
      </c>
      <c r="D292" s="10">
        <f>[1]!EM_S_FA_YOY_OR($C$9,D22)</f>
        <v>17.3303566385</v>
      </c>
      <c r="E292" s="10">
        <f>[1]!EM_S_FA_YOY_OR($C$9,E22)</f>
        <v>20.302842446100001</v>
      </c>
      <c r="F292" s="10">
        <f>[1]!EM_S_FA_YOY_OR($C$9,F22)</f>
        <v>58.187108801800001</v>
      </c>
      <c r="G292" s="10">
        <f>[1]!EM_S_FA_YOY_OR($C$9,G22)</f>
        <v>43.760593983600003</v>
      </c>
      <c r="H292" s="10">
        <f>[1]!EM_S_FA_YOY_OR($C$9,H22)</f>
        <v>16.883045093900002</v>
      </c>
      <c r="I292" s="10">
        <f>[1]!EM_S_FA_YOY_OR($C$9,I22)</f>
        <v>2.1089560976000001</v>
      </c>
      <c r="J292" s="10">
        <f>[1]!EM_S_FA_YOY_OR($C$9,J22)</f>
        <v>3.4384545885</v>
      </c>
      <c r="K292" s="10">
        <f>[1]!EM_S_FA_YOY_OR($C$9,K22)</f>
        <v>18.991688077599999</v>
      </c>
      <c r="L292" s="10">
        <f>[1]!EM_S_FA_YOY_OR($C$9,L22)</f>
        <v>49.805920158900001</v>
      </c>
      <c r="M292" s="10">
        <f>[1]!EM_S_FA_YOY_OR($C$9,M22)</f>
        <v>26.488453415799999</v>
      </c>
      <c r="N292" s="95" t="str">
        <f>IFERROR(IF(O292&gt;O293,"优","差"),"")</f>
        <v>优</v>
      </c>
      <c r="O292" s="46">
        <f>(M292*M290)+(L292*L290)+(K292*K290)+(J292*J290)+(I292*I290)+(H292*H290)+(G292*G290)+(F292*F290)+(E292*E290)+(D292*D290)</f>
        <v>30.310827054730503</v>
      </c>
    </row>
    <row r="293" spans="1:15" ht="13.5" customHeight="1">
      <c r="C293" s="29" t="str">
        <f>C255</f>
        <v>饮料</v>
      </c>
      <c r="D293" s="10">
        <f>[1]!EM_BK_FA_ALL_YOY_OR($G$9,D22,"0")</f>
        <v>10.074422647069857</v>
      </c>
      <c r="E293" s="10">
        <f>[1]!EM_BK_FA_ALL_YOY_OR($G$9,E22,"0")</f>
        <v>22.62502826868565</v>
      </c>
      <c r="F293" s="10">
        <f>[1]!EM_BK_FA_ALL_YOY_OR($G$9,F22,"0")</f>
        <v>29.221485716977064</v>
      </c>
      <c r="G293" s="10">
        <f>[1]!EM_BK_FA_ALL_YOY_OR($G$9,G22,"0")</f>
        <v>22.05090445197709</v>
      </c>
      <c r="H293" s="10">
        <f>[1]!EM_BK_FA_ALL_YOY_OR($G$9,H22,"0")</f>
        <v>-0.80803847070162838</v>
      </c>
      <c r="I293" s="10">
        <f>[1]!EM_BK_FA_ALL_YOY_OR($G$9,I22,"0")</f>
        <v>-5.9356011104188342</v>
      </c>
      <c r="J293" s="10">
        <f>[1]!EM_BK_FA_ALL_YOY_OR($G$9,J22,"0")</f>
        <v>2.6803069675818731</v>
      </c>
      <c r="K293" s="10">
        <f>[1]!EM_BK_FA_ALL_YOY_OR($G$9,K22,"0")</f>
        <v>6.6889306066581167</v>
      </c>
      <c r="L293" s="10">
        <f>[1]!EM_BK_FA_ALL_YOY_OR($G$9,L22,"0")</f>
        <v>17.0236716419484</v>
      </c>
      <c r="M293" s="10">
        <f>[1]!EM_BK_FA_ALL_YOY_OR($G$9,M22,"0")</f>
        <v>17.474568598154104</v>
      </c>
      <c r="N293" s="96"/>
      <c r="O293" s="46">
        <f>(M293*M290)+(L293*L290)+(K293*K290)+(J293*J290)+(I293*I290)+(H293*H290)+(G293*G290)+(F293*F290)+(E293*E290)+(D293*D290)</f>
        <v>13.92519340352273</v>
      </c>
    </row>
    <row r="294" spans="1:15" ht="13.5" customHeight="1">
      <c r="C294" s="29" t="str">
        <f>C256</f>
        <v>全市场</v>
      </c>
      <c r="D294" s="10">
        <f>[1]!EM_BK_FA_ALL_YOY_OR("001004",D22,"0")</f>
        <v>4.183413429861246</v>
      </c>
      <c r="E294" s="10">
        <f>[1]!EM_BK_FA_ALL_YOY_OR("001004",E22,"0")</f>
        <v>33.831493282781928</v>
      </c>
      <c r="F294" s="10">
        <f>[1]!EM_BK_FA_ALL_YOY_OR("001004",F22,"0")</f>
        <v>20.836947487591068</v>
      </c>
      <c r="G294" s="10">
        <f>[1]!EM_BK_FA_ALL_YOY_OR("001004",G22,"0")</f>
        <v>8.0137221551925286</v>
      </c>
      <c r="H294" s="10">
        <f>[1]!EM_BK_FA_ALL_YOY_OR("001004",H22,"0")</f>
        <v>9.2636757295265149</v>
      </c>
      <c r="I294" s="10">
        <f>[1]!EM_BK_FA_ALL_YOY_OR("001004",I22,"0")</f>
        <v>5.4830019403837538</v>
      </c>
      <c r="J294" s="10">
        <f>[1]!EM_BK_FA_ALL_YOY_OR("001004",J22,"0")</f>
        <v>-1.2563965616500374</v>
      </c>
      <c r="K294" s="10">
        <f>[1]!EM_BK_FA_ALL_YOY_OR("001004",K22,"0")</f>
        <v>6.8145399941204792</v>
      </c>
      <c r="L294" s="10">
        <f>[1]!EM_BK_FA_ALL_YOY_OR("001004",L22,"0")</f>
        <v>17.624320944481681</v>
      </c>
      <c r="M294" s="10">
        <f>[1]!EM_BK_FA_ALL_YOY_OR("001004",M22,"0")</f>
        <v>11.613320093655066</v>
      </c>
      <c r="N294" s="97"/>
    </row>
    <row r="316" spans="3:14" ht="14.7" thickBot="1">
      <c r="C316" s="62"/>
      <c r="D316" s="62"/>
      <c r="E316" s="62"/>
      <c r="F316" s="62"/>
      <c r="G316" s="62"/>
      <c r="H316" s="62"/>
      <c r="I316" s="62"/>
      <c r="J316" s="62"/>
      <c r="K316" s="62"/>
      <c r="L316" s="62"/>
      <c r="M316" s="62"/>
      <c r="N316" s="62"/>
    </row>
    <row r="317" spans="3:14" ht="13.5" customHeight="1">
      <c r="C317" s="100" t="s">
        <v>189</v>
      </c>
      <c r="D317" s="101"/>
      <c r="E317" s="101"/>
      <c r="F317" s="101"/>
      <c r="G317" s="101"/>
      <c r="H317" s="101"/>
      <c r="I317" s="101"/>
      <c r="J317" s="101"/>
      <c r="K317" s="101"/>
      <c r="L317" s="101"/>
      <c r="M317" s="101"/>
      <c r="N317" s="102"/>
    </row>
    <row r="318" spans="3:14">
      <c r="C318" s="103"/>
      <c r="D318" s="68"/>
      <c r="E318" s="68"/>
      <c r="F318" s="68"/>
      <c r="G318" s="68"/>
      <c r="H318" s="68"/>
      <c r="I318" s="68"/>
      <c r="J318" s="68"/>
      <c r="K318" s="68"/>
      <c r="L318" s="68"/>
      <c r="M318" s="68"/>
      <c r="N318" s="104"/>
    </row>
    <row r="319" spans="3:14">
      <c r="C319" s="103"/>
      <c r="D319" s="68"/>
      <c r="E319" s="68"/>
      <c r="F319" s="68"/>
      <c r="G319" s="68"/>
      <c r="H319" s="68"/>
      <c r="I319" s="68"/>
      <c r="J319" s="68"/>
      <c r="K319" s="68"/>
      <c r="L319" s="68"/>
      <c r="M319" s="68"/>
      <c r="N319" s="104"/>
    </row>
    <row r="320" spans="3:14" ht="14.7" thickBot="1">
      <c r="C320" s="105"/>
      <c r="D320" s="106"/>
      <c r="E320" s="106"/>
      <c r="F320" s="106"/>
      <c r="G320" s="106"/>
      <c r="H320" s="106"/>
      <c r="I320" s="106"/>
      <c r="J320" s="106"/>
      <c r="K320" s="106"/>
      <c r="L320" s="106"/>
      <c r="M320" s="106"/>
      <c r="N320" s="107"/>
    </row>
    <row r="321" spans="3:14">
      <c r="C321" s="62"/>
      <c r="D321" s="62"/>
      <c r="E321" s="62"/>
      <c r="F321" s="62"/>
      <c r="G321" s="62"/>
      <c r="H321" s="62"/>
      <c r="I321" s="62"/>
      <c r="J321" s="62"/>
      <c r="K321" s="62"/>
      <c r="L321" s="62"/>
      <c r="M321" s="62"/>
      <c r="N321" s="62"/>
    </row>
  </sheetData>
  <mergeCells count="48">
    <mergeCell ref="C51:N51"/>
    <mergeCell ref="A57:A59"/>
    <mergeCell ref="B57:C59"/>
    <mergeCell ref="N61:N63"/>
    <mergeCell ref="A19:A21"/>
    <mergeCell ref="B19:C21"/>
    <mergeCell ref="N23:N25"/>
    <mergeCell ref="C47:N47"/>
    <mergeCell ref="C48:N50"/>
    <mergeCell ref="A134:A136"/>
    <mergeCell ref="B134:C136"/>
    <mergeCell ref="N138:N140"/>
    <mergeCell ref="C162:N162"/>
    <mergeCell ref="C85:N85"/>
    <mergeCell ref="C86:N87"/>
    <mergeCell ref="C88:N88"/>
    <mergeCell ref="A95:A97"/>
    <mergeCell ref="B95:C97"/>
    <mergeCell ref="N99:N101"/>
    <mergeCell ref="C123:N123"/>
    <mergeCell ref="C128:N128"/>
    <mergeCell ref="C124:N127"/>
    <mergeCell ref="C163:N166"/>
    <mergeCell ref="B212:C214"/>
    <mergeCell ref="N216:N218"/>
    <mergeCell ref="C240:N240"/>
    <mergeCell ref="C241:N242"/>
    <mergeCell ref="C167:N167"/>
    <mergeCell ref="C243:N243"/>
    <mergeCell ref="A174:A176"/>
    <mergeCell ref="B174:C176"/>
    <mergeCell ref="N178:N180"/>
    <mergeCell ref="C202:N202"/>
    <mergeCell ref="C206:N206"/>
    <mergeCell ref="C203:N205"/>
    <mergeCell ref="A212:A214"/>
    <mergeCell ref="C321:N321"/>
    <mergeCell ref="A250:A252"/>
    <mergeCell ref="N254:N256"/>
    <mergeCell ref="C278:N278"/>
    <mergeCell ref="C283:N283"/>
    <mergeCell ref="B250:C253"/>
    <mergeCell ref="C279:N282"/>
    <mergeCell ref="A288:A290"/>
    <mergeCell ref="B288:C290"/>
    <mergeCell ref="N292:N294"/>
    <mergeCell ref="C316:N316"/>
    <mergeCell ref="C317:N320"/>
  </mergeCells>
  <phoneticPr fontId="1" type="noConversion"/>
  <conditionalFormatting sqref="D23:M25">
    <cfRule type="dataBar" priority="38">
      <dataBar>
        <cfvo type="min"/>
        <cfvo type="max"/>
        <color rgb="FF638EC6"/>
      </dataBar>
      <extLst>
        <ext xmlns:x14="http://schemas.microsoft.com/office/spreadsheetml/2009/9/main" uri="{B025F937-C7B1-47D3-B67F-A62EFF666E3E}">
          <x14:id>{10BFB839-55BE-4292-BF3F-257A7C2D3C5B}</x14:id>
        </ext>
      </extLst>
    </cfRule>
  </conditionalFormatting>
  <conditionalFormatting sqref="N23">
    <cfRule type="containsText" dxfId="15" priority="39" operator="containsText" text="差">
      <formula>NOT(ISERROR(SEARCH("差",N23)))</formula>
    </cfRule>
    <cfRule type="containsText" dxfId="14" priority="40" operator="containsText" text="优">
      <formula>NOT(ISERROR(SEARCH("优",N23)))</formula>
    </cfRule>
  </conditionalFormatting>
  <conditionalFormatting sqref="D61:M62">
    <cfRule type="dataBar" priority="35">
      <dataBar>
        <cfvo type="min"/>
        <cfvo type="max"/>
        <color rgb="FF638EC6"/>
      </dataBar>
      <extLst>
        <ext xmlns:x14="http://schemas.microsoft.com/office/spreadsheetml/2009/9/main" uri="{B025F937-C7B1-47D3-B67F-A62EFF666E3E}">
          <x14:id>{2280493A-AB9A-42E7-A14C-88A7EB1308B3}</x14:id>
        </ext>
      </extLst>
    </cfRule>
  </conditionalFormatting>
  <conditionalFormatting sqref="N61">
    <cfRule type="containsText" dxfId="13" priority="36" operator="containsText" text="差">
      <formula>NOT(ISERROR(SEARCH("差",N61)))</formula>
    </cfRule>
    <cfRule type="containsText" dxfId="12" priority="37" operator="containsText" text="优">
      <formula>NOT(ISERROR(SEARCH("优",N61)))</formula>
    </cfRule>
  </conditionalFormatting>
  <conditionalFormatting sqref="D25:M25">
    <cfRule type="dataBar" priority="34">
      <dataBar>
        <cfvo type="min"/>
        <cfvo type="max"/>
        <color rgb="FF638EC6"/>
      </dataBar>
      <extLst>
        <ext xmlns:x14="http://schemas.microsoft.com/office/spreadsheetml/2009/9/main" uri="{B025F937-C7B1-47D3-B67F-A62EFF666E3E}">
          <x14:id>{7D8BB814-771B-4739-BB55-C07CAA6D8BC4}</x14:id>
        </ext>
      </extLst>
    </cfRule>
  </conditionalFormatting>
  <conditionalFormatting sqref="D63:M63">
    <cfRule type="dataBar" priority="33">
      <dataBar>
        <cfvo type="min"/>
        <cfvo type="max"/>
        <color rgb="FF638EC6"/>
      </dataBar>
      <extLst>
        <ext xmlns:x14="http://schemas.microsoft.com/office/spreadsheetml/2009/9/main" uri="{B025F937-C7B1-47D3-B67F-A62EFF666E3E}">
          <x14:id>{A4BBA4F6-E83E-4CD9-8053-BD79F1E8D5E0}</x14:id>
        </ext>
      </extLst>
    </cfRule>
  </conditionalFormatting>
  <conditionalFormatting sqref="D61:M63">
    <cfRule type="dataBar" priority="32">
      <dataBar>
        <cfvo type="min"/>
        <cfvo type="max"/>
        <color rgb="FF638EC6"/>
      </dataBar>
      <extLst>
        <ext xmlns:x14="http://schemas.microsoft.com/office/spreadsheetml/2009/9/main" uri="{B025F937-C7B1-47D3-B67F-A62EFF666E3E}">
          <x14:id>{D63FD30A-E5B3-49FF-90D9-089A91C9F84E}</x14:id>
        </ext>
      </extLst>
    </cfRule>
  </conditionalFormatting>
  <conditionalFormatting sqref="D23:M25">
    <cfRule type="dataBar" priority="31">
      <dataBar>
        <cfvo type="min"/>
        <cfvo type="max"/>
        <color rgb="FF638EC6"/>
      </dataBar>
      <extLst>
        <ext xmlns:x14="http://schemas.microsoft.com/office/spreadsheetml/2009/9/main" uri="{B025F937-C7B1-47D3-B67F-A62EFF666E3E}">
          <x14:id>{E94E7D12-BA9D-4CA8-AE62-3198837C1C18}</x14:id>
        </ext>
      </extLst>
    </cfRule>
  </conditionalFormatting>
  <conditionalFormatting sqref="N99">
    <cfRule type="containsText" dxfId="11" priority="29" operator="containsText" text="差">
      <formula>NOT(ISERROR(SEARCH("差",N99)))</formula>
    </cfRule>
    <cfRule type="containsText" dxfId="10" priority="30" operator="containsText" text="优">
      <formula>NOT(ISERROR(SEARCH("优",N99)))</formula>
    </cfRule>
  </conditionalFormatting>
  <conditionalFormatting sqref="D99:M100">
    <cfRule type="dataBar" priority="28">
      <dataBar>
        <cfvo type="min"/>
        <cfvo type="max"/>
        <color rgb="FF638EC6"/>
      </dataBar>
      <extLst>
        <ext xmlns:x14="http://schemas.microsoft.com/office/spreadsheetml/2009/9/main" uri="{B025F937-C7B1-47D3-B67F-A62EFF666E3E}">
          <x14:id>{366891AF-F92B-4A16-8F13-8160A198D953}</x14:id>
        </ext>
      </extLst>
    </cfRule>
  </conditionalFormatting>
  <conditionalFormatting sqref="D101:M101">
    <cfRule type="dataBar" priority="27">
      <dataBar>
        <cfvo type="min"/>
        <cfvo type="max"/>
        <color rgb="FF638EC6"/>
      </dataBar>
      <extLst>
        <ext xmlns:x14="http://schemas.microsoft.com/office/spreadsheetml/2009/9/main" uri="{B025F937-C7B1-47D3-B67F-A62EFF666E3E}">
          <x14:id>{339C19A6-CFFE-461B-B97E-9A28A9E5DDA8}</x14:id>
        </ext>
      </extLst>
    </cfRule>
  </conditionalFormatting>
  <conditionalFormatting sqref="D99:M101">
    <cfRule type="dataBar" priority="26">
      <dataBar>
        <cfvo type="min"/>
        <cfvo type="max"/>
        <color rgb="FF638EC6"/>
      </dataBar>
      <extLst>
        <ext xmlns:x14="http://schemas.microsoft.com/office/spreadsheetml/2009/9/main" uri="{B025F937-C7B1-47D3-B67F-A62EFF666E3E}">
          <x14:id>{73F25DAD-1260-4B86-8DA6-DEE6F2EF87DB}</x14:id>
        </ext>
      </extLst>
    </cfRule>
  </conditionalFormatting>
  <conditionalFormatting sqref="N138">
    <cfRule type="containsText" dxfId="9" priority="24" operator="containsText" text="差">
      <formula>NOT(ISERROR(SEARCH("差",N138)))</formula>
    </cfRule>
    <cfRule type="containsText" dxfId="8" priority="25" operator="containsText" text="优">
      <formula>NOT(ISERROR(SEARCH("优",N138)))</formula>
    </cfRule>
  </conditionalFormatting>
  <conditionalFormatting sqref="D138:M139">
    <cfRule type="dataBar" priority="23">
      <dataBar>
        <cfvo type="min"/>
        <cfvo type="max"/>
        <color rgb="FF638EC6"/>
      </dataBar>
      <extLst>
        <ext xmlns:x14="http://schemas.microsoft.com/office/spreadsheetml/2009/9/main" uri="{B025F937-C7B1-47D3-B67F-A62EFF666E3E}">
          <x14:id>{70B6452C-15E5-4FF1-A6BB-8F952F5B3B74}</x14:id>
        </ext>
      </extLst>
    </cfRule>
  </conditionalFormatting>
  <conditionalFormatting sqref="D140:M140">
    <cfRule type="dataBar" priority="22">
      <dataBar>
        <cfvo type="min"/>
        <cfvo type="max"/>
        <color rgb="FF638EC6"/>
      </dataBar>
      <extLst>
        <ext xmlns:x14="http://schemas.microsoft.com/office/spreadsheetml/2009/9/main" uri="{B025F937-C7B1-47D3-B67F-A62EFF666E3E}">
          <x14:id>{369315B9-3D25-43A4-816F-AA15168A3DBA}</x14:id>
        </ext>
      </extLst>
    </cfRule>
  </conditionalFormatting>
  <conditionalFormatting sqref="D138:M140">
    <cfRule type="dataBar" priority="21">
      <dataBar>
        <cfvo type="min"/>
        <cfvo type="max"/>
        <color rgb="FF638EC6"/>
      </dataBar>
      <extLst>
        <ext xmlns:x14="http://schemas.microsoft.com/office/spreadsheetml/2009/9/main" uri="{B025F937-C7B1-47D3-B67F-A62EFF666E3E}">
          <x14:id>{E0656531-D687-4664-BE99-E9898B8C9C69}</x14:id>
        </ext>
      </extLst>
    </cfRule>
  </conditionalFormatting>
  <conditionalFormatting sqref="D178:M179">
    <cfRule type="dataBar" priority="20">
      <dataBar>
        <cfvo type="min"/>
        <cfvo type="max"/>
        <color rgb="FF638EC6"/>
      </dataBar>
      <extLst>
        <ext xmlns:x14="http://schemas.microsoft.com/office/spreadsheetml/2009/9/main" uri="{B025F937-C7B1-47D3-B67F-A62EFF666E3E}">
          <x14:id>{1DB6C0B9-04D4-4DEA-8377-050EE5E038AE}</x14:id>
        </ext>
      </extLst>
    </cfRule>
  </conditionalFormatting>
  <conditionalFormatting sqref="D180:M180">
    <cfRule type="dataBar" priority="19">
      <dataBar>
        <cfvo type="min"/>
        <cfvo type="max"/>
        <color rgb="FF638EC6"/>
      </dataBar>
      <extLst>
        <ext xmlns:x14="http://schemas.microsoft.com/office/spreadsheetml/2009/9/main" uri="{B025F937-C7B1-47D3-B67F-A62EFF666E3E}">
          <x14:id>{EB8A86FC-51EA-4CB6-A557-88E98DC96A2B}</x14:id>
        </ext>
      </extLst>
    </cfRule>
  </conditionalFormatting>
  <conditionalFormatting sqref="D178:M180">
    <cfRule type="dataBar" priority="18">
      <dataBar>
        <cfvo type="min"/>
        <cfvo type="max"/>
        <color rgb="FF638EC6"/>
      </dataBar>
      <extLst>
        <ext xmlns:x14="http://schemas.microsoft.com/office/spreadsheetml/2009/9/main" uri="{B025F937-C7B1-47D3-B67F-A62EFF666E3E}">
          <x14:id>{B761E1BB-5DC6-4201-B882-32B19405196C}</x14:id>
        </ext>
      </extLst>
    </cfRule>
  </conditionalFormatting>
  <conditionalFormatting sqref="N178">
    <cfRule type="containsText" dxfId="7" priority="16" operator="containsText" text="差">
      <formula>NOT(ISERROR(SEARCH("差",N178)))</formula>
    </cfRule>
    <cfRule type="containsText" dxfId="6" priority="17" operator="containsText" text="优">
      <formula>NOT(ISERROR(SEARCH("优",N178)))</formula>
    </cfRule>
  </conditionalFormatting>
  <conditionalFormatting sqref="D216:M217">
    <cfRule type="dataBar" priority="15">
      <dataBar>
        <cfvo type="min"/>
        <cfvo type="max"/>
        <color rgb="FF638EC6"/>
      </dataBar>
      <extLst>
        <ext xmlns:x14="http://schemas.microsoft.com/office/spreadsheetml/2009/9/main" uri="{B025F937-C7B1-47D3-B67F-A62EFF666E3E}">
          <x14:id>{9A8F3BA8-1FC6-4EF8-9F9C-38E9E07B6A73}</x14:id>
        </ext>
      </extLst>
    </cfRule>
  </conditionalFormatting>
  <conditionalFormatting sqref="D218:M218">
    <cfRule type="dataBar" priority="14">
      <dataBar>
        <cfvo type="min"/>
        <cfvo type="max"/>
        <color rgb="FF638EC6"/>
      </dataBar>
      <extLst>
        <ext xmlns:x14="http://schemas.microsoft.com/office/spreadsheetml/2009/9/main" uri="{B025F937-C7B1-47D3-B67F-A62EFF666E3E}">
          <x14:id>{3895EE8F-E24D-4FEE-B488-AB6DCC802EBB}</x14:id>
        </ext>
      </extLst>
    </cfRule>
  </conditionalFormatting>
  <conditionalFormatting sqref="D216:M218">
    <cfRule type="dataBar" priority="13">
      <dataBar>
        <cfvo type="min"/>
        <cfvo type="max"/>
        <color rgb="FF638EC6"/>
      </dataBar>
      <extLst>
        <ext xmlns:x14="http://schemas.microsoft.com/office/spreadsheetml/2009/9/main" uri="{B025F937-C7B1-47D3-B67F-A62EFF666E3E}">
          <x14:id>{23550AD6-5284-4A29-A4BA-70DF9E65C5A7}</x14:id>
        </ext>
      </extLst>
    </cfRule>
  </conditionalFormatting>
  <conditionalFormatting sqref="N216">
    <cfRule type="containsText" dxfId="5" priority="11" operator="containsText" text="差">
      <formula>NOT(ISERROR(SEARCH("差",N216)))</formula>
    </cfRule>
    <cfRule type="containsText" dxfId="4" priority="12" operator="containsText" text="优">
      <formula>NOT(ISERROR(SEARCH("优",N216)))</formula>
    </cfRule>
  </conditionalFormatting>
  <conditionalFormatting sqref="N254">
    <cfRule type="containsText" dxfId="3" priority="6" operator="containsText" text="差">
      <formula>NOT(ISERROR(SEARCH("差",N254)))</formula>
    </cfRule>
    <cfRule type="containsText" dxfId="2" priority="7" operator="containsText" text="优">
      <formula>NOT(ISERROR(SEARCH("优",N254)))</formula>
    </cfRule>
  </conditionalFormatting>
  <conditionalFormatting sqref="N292">
    <cfRule type="containsText" dxfId="1" priority="1" operator="containsText" text="差">
      <formula>NOT(ISERROR(SEARCH("差",N292)))</formula>
    </cfRule>
    <cfRule type="containsText" dxfId="0" priority="2" operator="containsText" text="优">
      <formula>NOT(ISERROR(SEARCH("优",N292)))</formula>
    </cfRule>
  </conditionalFormatting>
  <conditionalFormatting sqref="D254:M256">
    <cfRule type="dataBar" priority="10">
      <dataBar>
        <cfvo type="min"/>
        <cfvo type="max"/>
        <color rgb="FF638EC6"/>
      </dataBar>
      <extLst>
        <ext xmlns:x14="http://schemas.microsoft.com/office/spreadsheetml/2009/9/main" uri="{B025F937-C7B1-47D3-B67F-A62EFF666E3E}">
          <x14:id>{DCAA9AF8-5047-4EB6-9AD6-E6738D10A949}</x14:id>
        </ext>
      </extLst>
    </cfRule>
  </conditionalFormatting>
  <conditionalFormatting sqref="D256:M256">
    <cfRule type="dataBar" priority="9">
      <dataBar>
        <cfvo type="min"/>
        <cfvo type="max"/>
        <color rgb="FF638EC6"/>
      </dataBar>
      <extLst>
        <ext xmlns:x14="http://schemas.microsoft.com/office/spreadsheetml/2009/9/main" uri="{B025F937-C7B1-47D3-B67F-A62EFF666E3E}">
          <x14:id>{64D7072A-B04C-44CD-9DEA-29C42DE78EA2}</x14:id>
        </ext>
      </extLst>
    </cfRule>
  </conditionalFormatting>
  <conditionalFormatting sqref="D254:M256">
    <cfRule type="dataBar" priority="8">
      <dataBar>
        <cfvo type="min"/>
        <cfvo type="max"/>
        <color rgb="FF638EC6"/>
      </dataBar>
      <extLst>
        <ext xmlns:x14="http://schemas.microsoft.com/office/spreadsheetml/2009/9/main" uri="{B025F937-C7B1-47D3-B67F-A62EFF666E3E}">
          <x14:id>{E5F523DC-31A1-41DC-AC39-657E3A060044}</x14:id>
        </ext>
      </extLst>
    </cfRule>
  </conditionalFormatting>
  <conditionalFormatting sqref="D292:M294">
    <cfRule type="dataBar" priority="5">
      <dataBar>
        <cfvo type="min"/>
        <cfvo type="max"/>
        <color rgb="FF638EC6"/>
      </dataBar>
      <extLst>
        <ext xmlns:x14="http://schemas.microsoft.com/office/spreadsheetml/2009/9/main" uri="{B025F937-C7B1-47D3-B67F-A62EFF666E3E}">
          <x14:id>{84556DA0-AB56-4F89-902B-6D68C02D7191}</x14:id>
        </ext>
      </extLst>
    </cfRule>
  </conditionalFormatting>
  <conditionalFormatting sqref="D294:M294">
    <cfRule type="dataBar" priority="4">
      <dataBar>
        <cfvo type="min"/>
        <cfvo type="max"/>
        <color rgb="FF638EC6"/>
      </dataBar>
      <extLst>
        <ext xmlns:x14="http://schemas.microsoft.com/office/spreadsheetml/2009/9/main" uri="{B025F937-C7B1-47D3-B67F-A62EFF666E3E}">
          <x14:id>{9817A521-8503-43BB-9F49-25EB491469D9}</x14:id>
        </ext>
      </extLst>
    </cfRule>
  </conditionalFormatting>
  <conditionalFormatting sqref="D292:M294">
    <cfRule type="dataBar" priority="3">
      <dataBar>
        <cfvo type="min"/>
        <cfvo type="max"/>
        <color rgb="FF638EC6"/>
      </dataBar>
      <extLst>
        <ext xmlns:x14="http://schemas.microsoft.com/office/spreadsheetml/2009/9/main" uri="{B025F937-C7B1-47D3-B67F-A62EFF666E3E}">
          <x14:id>{DD72C7F9-99D4-48B7-9E95-AF5AB44FDCF9}</x14:id>
        </ext>
      </extLst>
    </cfRule>
  </conditionalFormatting>
  <hyperlinks>
    <hyperlink ref="B1" location="数据速览!A2" display="数据速览" xr:uid="{00000000-0004-0000-0400-000000000000}"/>
    <hyperlink ref="C1" location="偿债能力!A2" display="偿债能力" xr:uid="{00000000-0004-0000-0400-000001000000}"/>
    <hyperlink ref="D1" location="营运能力!A2" display="营运能力" xr:uid="{00000000-0004-0000-0400-000002000000}"/>
    <hyperlink ref="E1" location="盈利能力!A2" display="盈利能力" xr:uid="{00000000-0004-0000-0400-000003000000}"/>
    <hyperlink ref="A1" location="首页!A2" display="首页" xr:uid="{00000000-0004-0000-0400-000004000000}"/>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0BFB839-55BE-4292-BF3F-257A7C2D3C5B}">
            <x14:dataBar minLength="0" maxLength="100" negativeBarColorSameAsPositive="1" axisPosition="none">
              <x14:cfvo type="min"/>
              <x14:cfvo type="max"/>
            </x14:dataBar>
          </x14:cfRule>
          <xm:sqref>D23:M25</xm:sqref>
        </x14:conditionalFormatting>
        <x14:conditionalFormatting xmlns:xm="http://schemas.microsoft.com/office/excel/2006/main">
          <x14:cfRule type="dataBar" id="{2280493A-AB9A-42E7-A14C-88A7EB1308B3}">
            <x14:dataBar minLength="0" maxLength="100" negativeBarColorSameAsPositive="1" axisPosition="none">
              <x14:cfvo type="min"/>
              <x14:cfvo type="max"/>
            </x14:dataBar>
          </x14:cfRule>
          <xm:sqref>D61:M62</xm:sqref>
        </x14:conditionalFormatting>
        <x14:conditionalFormatting xmlns:xm="http://schemas.microsoft.com/office/excel/2006/main">
          <x14:cfRule type="dataBar" id="{7D8BB814-771B-4739-BB55-C07CAA6D8BC4}">
            <x14:dataBar minLength="0" maxLength="100" negativeBarColorSameAsPositive="1" axisPosition="none">
              <x14:cfvo type="min"/>
              <x14:cfvo type="max"/>
            </x14:dataBar>
          </x14:cfRule>
          <xm:sqref>D25:M25</xm:sqref>
        </x14:conditionalFormatting>
        <x14:conditionalFormatting xmlns:xm="http://schemas.microsoft.com/office/excel/2006/main">
          <x14:cfRule type="dataBar" id="{A4BBA4F6-E83E-4CD9-8053-BD79F1E8D5E0}">
            <x14:dataBar minLength="0" maxLength="100" negativeBarColorSameAsPositive="1" axisPosition="none">
              <x14:cfvo type="min"/>
              <x14:cfvo type="max"/>
            </x14:dataBar>
          </x14:cfRule>
          <xm:sqref>D63:M63</xm:sqref>
        </x14:conditionalFormatting>
        <x14:conditionalFormatting xmlns:xm="http://schemas.microsoft.com/office/excel/2006/main">
          <x14:cfRule type="dataBar" id="{D63FD30A-E5B3-49FF-90D9-089A91C9F84E}">
            <x14:dataBar minLength="0" maxLength="100" negativeBarColorSameAsPositive="1" axisPosition="none">
              <x14:cfvo type="min"/>
              <x14:cfvo type="max"/>
            </x14:dataBar>
          </x14:cfRule>
          <xm:sqref>D61:M63</xm:sqref>
        </x14:conditionalFormatting>
        <x14:conditionalFormatting xmlns:xm="http://schemas.microsoft.com/office/excel/2006/main">
          <x14:cfRule type="dataBar" id="{E94E7D12-BA9D-4CA8-AE62-3198837C1C18}">
            <x14:dataBar minLength="0" maxLength="100" negativeBarColorSameAsPositive="1" axisPosition="none">
              <x14:cfvo type="min"/>
              <x14:cfvo type="max"/>
            </x14:dataBar>
          </x14:cfRule>
          <xm:sqref>D23:M25</xm:sqref>
        </x14:conditionalFormatting>
        <x14:conditionalFormatting xmlns:xm="http://schemas.microsoft.com/office/excel/2006/main">
          <x14:cfRule type="dataBar" id="{366891AF-F92B-4A16-8F13-8160A198D953}">
            <x14:dataBar minLength="0" maxLength="100" negativeBarColorSameAsPositive="1" axisPosition="none">
              <x14:cfvo type="min"/>
              <x14:cfvo type="max"/>
            </x14:dataBar>
          </x14:cfRule>
          <xm:sqref>D99:M100</xm:sqref>
        </x14:conditionalFormatting>
        <x14:conditionalFormatting xmlns:xm="http://schemas.microsoft.com/office/excel/2006/main">
          <x14:cfRule type="dataBar" id="{339C19A6-CFFE-461B-B97E-9A28A9E5DDA8}">
            <x14:dataBar minLength="0" maxLength="100" negativeBarColorSameAsPositive="1" axisPosition="none">
              <x14:cfvo type="min"/>
              <x14:cfvo type="max"/>
            </x14:dataBar>
          </x14:cfRule>
          <xm:sqref>D101:M101</xm:sqref>
        </x14:conditionalFormatting>
        <x14:conditionalFormatting xmlns:xm="http://schemas.microsoft.com/office/excel/2006/main">
          <x14:cfRule type="dataBar" id="{73F25DAD-1260-4B86-8DA6-DEE6F2EF87DB}">
            <x14:dataBar minLength="0" maxLength="100" negativeBarColorSameAsPositive="1" axisPosition="none">
              <x14:cfvo type="min"/>
              <x14:cfvo type="max"/>
            </x14:dataBar>
          </x14:cfRule>
          <xm:sqref>D99:M101</xm:sqref>
        </x14:conditionalFormatting>
        <x14:conditionalFormatting xmlns:xm="http://schemas.microsoft.com/office/excel/2006/main">
          <x14:cfRule type="dataBar" id="{70B6452C-15E5-4FF1-A6BB-8F952F5B3B74}">
            <x14:dataBar minLength="0" maxLength="100" negativeBarColorSameAsPositive="1" axisPosition="none">
              <x14:cfvo type="min"/>
              <x14:cfvo type="max"/>
            </x14:dataBar>
          </x14:cfRule>
          <xm:sqref>D138:M139</xm:sqref>
        </x14:conditionalFormatting>
        <x14:conditionalFormatting xmlns:xm="http://schemas.microsoft.com/office/excel/2006/main">
          <x14:cfRule type="dataBar" id="{369315B9-3D25-43A4-816F-AA15168A3DBA}">
            <x14:dataBar minLength="0" maxLength="100" negativeBarColorSameAsPositive="1" axisPosition="none">
              <x14:cfvo type="min"/>
              <x14:cfvo type="max"/>
            </x14:dataBar>
          </x14:cfRule>
          <xm:sqref>D140:M140</xm:sqref>
        </x14:conditionalFormatting>
        <x14:conditionalFormatting xmlns:xm="http://schemas.microsoft.com/office/excel/2006/main">
          <x14:cfRule type="dataBar" id="{E0656531-D687-4664-BE99-E9898B8C9C69}">
            <x14:dataBar minLength="0" maxLength="100" negativeBarColorSameAsPositive="1" axisPosition="none">
              <x14:cfvo type="min"/>
              <x14:cfvo type="max"/>
            </x14:dataBar>
          </x14:cfRule>
          <xm:sqref>D138:M140</xm:sqref>
        </x14:conditionalFormatting>
        <x14:conditionalFormatting xmlns:xm="http://schemas.microsoft.com/office/excel/2006/main">
          <x14:cfRule type="dataBar" id="{1DB6C0B9-04D4-4DEA-8377-050EE5E038AE}">
            <x14:dataBar minLength="0" maxLength="100" negativeBarColorSameAsPositive="1" axisPosition="none">
              <x14:cfvo type="min"/>
              <x14:cfvo type="max"/>
            </x14:dataBar>
          </x14:cfRule>
          <xm:sqref>D178:M179</xm:sqref>
        </x14:conditionalFormatting>
        <x14:conditionalFormatting xmlns:xm="http://schemas.microsoft.com/office/excel/2006/main">
          <x14:cfRule type="dataBar" id="{EB8A86FC-51EA-4CB6-A557-88E98DC96A2B}">
            <x14:dataBar minLength="0" maxLength="100" negativeBarColorSameAsPositive="1" axisPosition="none">
              <x14:cfvo type="min"/>
              <x14:cfvo type="max"/>
            </x14:dataBar>
          </x14:cfRule>
          <xm:sqref>D180:M180</xm:sqref>
        </x14:conditionalFormatting>
        <x14:conditionalFormatting xmlns:xm="http://schemas.microsoft.com/office/excel/2006/main">
          <x14:cfRule type="dataBar" id="{B761E1BB-5DC6-4201-B882-32B19405196C}">
            <x14:dataBar minLength="0" maxLength="100" negativeBarColorSameAsPositive="1" axisPosition="none">
              <x14:cfvo type="min"/>
              <x14:cfvo type="max"/>
            </x14:dataBar>
          </x14:cfRule>
          <xm:sqref>D178:M180</xm:sqref>
        </x14:conditionalFormatting>
        <x14:conditionalFormatting xmlns:xm="http://schemas.microsoft.com/office/excel/2006/main">
          <x14:cfRule type="dataBar" id="{9A8F3BA8-1FC6-4EF8-9F9C-38E9E07B6A73}">
            <x14:dataBar minLength="0" maxLength="100" negativeBarColorSameAsPositive="1" axisPosition="none">
              <x14:cfvo type="min"/>
              <x14:cfvo type="max"/>
            </x14:dataBar>
          </x14:cfRule>
          <xm:sqref>D216:M217</xm:sqref>
        </x14:conditionalFormatting>
        <x14:conditionalFormatting xmlns:xm="http://schemas.microsoft.com/office/excel/2006/main">
          <x14:cfRule type="dataBar" id="{3895EE8F-E24D-4FEE-B488-AB6DCC802EBB}">
            <x14:dataBar minLength="0" maxLength="100" negativeBarColorSameAsPositive="1" axisPosition="none">
              <x14:cfvo type="min"/>
              <x14:cfvo type="max"/>
            </x14:dataBar>
          </x14:cfRule>
          <xm:sqref>D218:M218</xm:sqref>
        </x14:conditionalFormatting>
        <x14:conditionalFormatting xmlns:xm="http://schemas.microsoft.com/office/excel/2006/main">
          <x14:cfRule type="dataBar" id="{23550AD6-5284-4A29-A4BA-70DF9E65C5A7}">
            <x14:dataBar minLength="0" maxLength="100" negativeBarColorSameAsPositive="1" axisPosition="none">
              <x14:cfvo type="min"/>
              <x14:cfvo type="max"/>
            </x14:dataBar>
          </x14:cfRule>
          <xm:sqref>D216:M218</xm:sqref>
        </x14:conditionalFormatting>
        <x14:conditionalFormatting xmlns:xm="http://schemas.microsoft.com/office/excel/2006/main">
          <x14:cfRule type="dataBar" id="{DCAA9AF8-5047-4EB6-9AD6-E6738D10A949}">
            <x14:dataBar minLength="0" maxLength="100" negativeBarColorSameAsPositive="1" axisPosition="none">
              <x14:cfvo type="min"/>
              <x14:cfvo type="max"/>
            </x14:dataBar>
          </x14:cfRule>
          <xm:sqref>D254:M256</xm:sqref>
        </x14:conditionalFormatting>
        <x14:conditionalFormatting xmlns:xm="http://schemas.microsoft.com/office/excel/2006/main">
          <x14:cfRule type="dataBar" id="{64D7072A-B04C-44CD-9DEA-29C42DE78EA2}">
            <x14:dataBar minLength="0" maxLength="100" negativeBarColorSameAsPositive="1" axisPosition="none">
              <x14:cfvo type="min"/>
              <x14:cfvo type="max"/>
            </x14:dataBar>
          </x14:cfRule>
          <xm:sqref>D256:M256</xm:sqref>
        </x14:conditionalFormatting>
        <x14:conditionalFormatting xmlns:xm="http://schemas.microsoft.com/office/excel/2006/main">
          <x14:cfRule type="dataBar" id="{E5F523DC-31A1-41DC-AC39-657E3A060044}">
            <x14:dataBar minLength="0" maxLength="100" negativeBarColorSameAsPositive="1" axisPosition="none">
              <x14:cfvo type="min"/>
              <x14:cfvo type="max"/>
            </x14:dataBar>
          </x14:cfRule>
          <xm:sqref>D254:M256</xm:sqref>
        </x14:conditionalFormatting>
        <x14:conditionalFormatting xmlns:xm="http://schemas.microsoft.com/office/excel/2006/main">
          <x14:cfRule type="dataBar" id="{84556DA0-AB56-4F89-902B-6D68C02D7191}">
            <x14:dataBar minLength="0" maxLength="100" negativeBarColorSameAsPositive="1" axisPosition="none">
              <x14:cfvo type="min"/>
              <x14:cfvo type="max"/>
            </x14:dataBar>
          </x14:cfRule>
          <xm:sqref>D292:M294</xm:sqref>
        </x14:conditionalFormatting>
        <x14:conditionalFormatting xmlns:xm="http://schemas.microsoft.com/office/excel/2006/main">
          <x14:cfRule type="dataBar" id="{9817A521-8503-43BB-9F49-25EB491469D9}">
            <x14:dataBar minLength="0" maxLength="100" negativeBarColorSameAsPositive="1" axisPosition="none">
              <x14:cfvo type="min"/>
              <x14:cfvo type="max"/>
            </x14:dataBar>
          </x14:cfRule>
          <xm:sqref>D294:M294</xm:sqref>
        </x14:conditionalFormatting>
        <x14:conditionalFormatting xmlns:xm="http://schemas.microsoft.com/office/excel/2006/main">
          <x14:cfRule type="dataBar" id="{DD72C7F9-99D4-48B7-9E95-AF5AB44FDCF9}">
            <x14:dataBar minLength="0" maxLength="100" negativeBarColorSameAsPositive="1" axisPosition="none">
              <x14:cfvo type="min"/>
              <x14:cfvo type="max"/>
            </x14:dataBar>
          </x14:cfRule>
          <xm:sqref>D292:M294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2"/>
  </sheetPr>
  <dimension ref="A3:M127"/>
  <sheetViews>
    <sheetView showGridLines="0" workbookViewId="0">
      <selection activeCell="D78" sqref="D78"/>
    </sheetView>
  </sheetViews>
  <sheetFormatPr defaultRowHeight="14.35"/>
  <cols>
    <col min="3" max="11" width="13.25" customWidth="1"/>
    <col min="12" max="12" width="11.625" bestFit="1" customWidth="1"/>
  </cols>
  <sheetData>
    <row r="3" spans="1:1">
      <c r="A3" s="111" t="s">
        <v>196</v>
      </c>
    </row>
    <row r="4" spans="1:1">
      <c r="A4" s="111"/>
    </row>
    <row r="5" spans="1:1">
      <c r="A5" s="111"/>
    </row>
    <row r="6" spans="1:1">
      <c r="A6" s="111"/>
    </row>
    <row r="7" spans="1:1">
      <c r="A7" s="111"/>
    </row>
    <row r="8" spans="1:1">
      <c r="A8" s="111"/>
    </row>
    <row r="9" spans="1:1">
      <c r="A9" s="111"/>
    </row>
    <row r="10" spans="1:1">
      <c r="A10" s="111"/>
    </row>
    <row r="11" spans="1:1">
      <c r="A11" s="111"/>
    </row>
    <row r="12" spans="1:1">
      <c r="A12" s="111"/>
    </row>
    <row r="13" spans="1:1">
      <c r="A13" s="111"/>
    </row>
    <row r="14" spans="1:1">
      <c r="A14" s="111"/>
    </row>
    <row r="15" spans="1:1">
      <c r="A15" s="111"/>
    </row>
    <row r="16" spans="1:1">
      <c r="A16" s="111"/>
    </row>
    <row r="17" spans="1:1">
      <c r="A17" s="111"/>
    </row>
    <row r="18" spans="1:1">
      <c r="A18" s="111"/>
    </row>
    <row r="19" spans="1:1">
      <c r="A19" s="111"/>
    </row>
    <row r="20" spans="1:1">
      <c r="A20" s="111"/>
    </row>
    <row r="21" spans="1:1">
      <c r="A21" s="111"/>
    </row>
    <row r="22" spans="1:1">
      <c r="A22" s="111"/>
    </row>
    <row r="23" spans="1:1">
      <c r="A23" s="111"/>
    </row>
    <row r="24" spans="1:1">
      <c r="A24" s="111"/>
    </row>
    <row r="25" spans="1:1">
      <c r="A25" s="111"/>
    </row>
    <row r="26" spans="1:1" ht="13.5" customHeight="1">
      <c r="A26" s="112" t="s">
        <v>197</v>
      </c>
    </row>
    <row r="27" spans="1:1">
      <c r="A27" s="112"/>
    </row>
    <row r="28" spans="1:1">
      <c r="A28" s="112"/>
    </row>
    <row r="29" spans="1:1">
      <c r="A29" s="112"/>
    </row>
    <row r="30" spans="1:1">
      <c r="A30" s="112"/>
    </row>
    <row r="31" spans="1:1">
      <c r="A31" s="112"/>
    </row>
    <row r="32" spans="1:1">
      <c r="A32" s="112"/>
    </row>
    <row r="33" spans="1:1">
      <c r="A33" s="112"/>
    </row>
    <row r="34" spans="1:1">
      <c r="A34" s="112"/>
    </row>
    <row r="35" spans="1:1">
      <c r="A35" s="112"/>
    </row>
    <row r="36" spans="1:1">
      <c r="A36" s="112"/>
    </row>
    <row r="37" spans="1:1">
      <c r="A37" s="112"/>
    </row>
    <row r="38" spans="1:1">
      <c r="A38" s="112"/>
    </row>
    <row r="39" spans="1:1">
      <c r="A39" s="112"/>
    </row>
    <row r="40" spans="1:1">
      <c r="A40" s="112"/>
    </row>
    <row r="41" spans="1:1">
      <c r="A41" s="112"/>
    </row>
    <row r="42" spans="1:1">
      <c r="A42" s="112"/>
    </row>
    <row r="43" spans="1:1">
      <c r="A43" s="112"/>
    </row>
    <row r="44" spans="1:1">
      <c r="A44" s="112"/>
    </row>
    <row r="45" spans="1:1">
      <c r="A45" s="112"/>
    </row>
    <row r="46" spans="1:1">
      <c r="A46" s="112"/>
    </row>
    <row r="47" spans="1:1">
      <c r="A47" s="112"/>
    </row>
    <row r="48" spans="1:1">
      <c r="A48" s="112"/>
    </row>
    <row r="49" spans="1:13">
      <c r="A49" s="112"/>
    </row>
    <row r="50" spans="1:13">
      <c r="A50" s="112"/>
    </row>
    <row r="51" spans="1:13">
      <c r="A51" s="112"/>
    </row>
    <row r="52" spans="1:13">
      <c r="A52" s="112"/>
    </row>
    <row r="53" spans="1:13">
      <c r="A53" s="112"/>
    </row>
    <row r="54" spans="1:13">
      <c r="A54" s="112"/>
    </row>
    <row r="55" spans="1:13">
      <c r="A55" s="112"/>
    </row>
    <row r="56" spans="1:13">
      <c r="A56" s="112"/>
    </row>
    <row r="57" spans="1:13">
      <c r="A57" s="115" t="s">
        <v>202</v>
      </c>
    </row>
    <row r="58" spans="1:13">
      <c r="A58" s="115"/>
    </row>
    <row r="59" spans="1:13">
      <c r="A59" s="115"/>
    </row>
    <row r="60" spans="1:13">
      <c r="A60" s="115"/>
    </row>
    <row r="61" spans="1:13">
      <c r="A61" s="115"/>
    </row>
    <row r="62" spans="1:13">
      <c r="A62" s="115"/>
    </row>
    <row r="63" spans="1:13">
      <c r="A63" s="115"/>
    </row>
    <row r="64" spans="1:13">
      <c r="A64" s="115"/>
      <c r="C64" s="114" t="s">
        <v>201</v>
      </c>
      <c r="D64" s="114"/>
      <c r="E64" s="114"/>
      <c r="F64" s="114"/>
      <c r="G64" s="114"/>
      <c r="H64" s="114"/>
      <c r="I64" s="114"/>
      <c r="J64" s="114"/>
      <c r="K64" s="114"/>
      <c r="L64" s="114"/>
      <c r="M64" s="114"/>
    </row>
    <row r="65" spans="1:13">
      <c r="A65" s="115"/>
      <c r="C65" s="114"/>
      <c r="D65" s="114"/>
      <c r="E65" s="114"/>
      <c r="F65" s="114"/>
      <c r="G65" s="114"/>
      <c r="H65" s="114"/>
      <c r="I65" s="114"/>
      <c r="J65" s="114"/>
      <c r="K65" s="114"/>
      <c r="L65" s="114"/>
      <c r="M65" s="114"/>
    </row>
    <row r="66" spans="1:13">
      <c r="A66" s="115"/>
      <c r="C66" s="50"/>
      <c r="D66" s="50"/>
      <c r="E66" s="50"/>
      <c r="F66" s="50"/>
      <c r="G66" s="50"/>
      <c r="H66" s="50"/>
      <c r="I66" s="50"/>
      <c r="J66" s="50"/>
      <c r="K66" s="50"/>
      <c r="L66" s="50"/>
      <c r="M66" s="50"/>
    </row>
    <row r="67" spans="1:13">
      <c r="A67" s="115"/>
      <c r="C67" s="50"/>
      <c r="D67" s="50"/>
      <c r="E67" s="50"/>
      <c r="F67" s="50"/>
      <c r="G67" s="50"/>
      <c r="H67" s="50"/>
      <c r="I67" s="50"/>
      <c r="J67" s="50"/>
      <c r="K67" s="50"/>
      <c r="L67" s="50"/>
      <c r="M67" s="50"/>
    </row>
    <row r="68" spans="1:13">
      <c r="A68" s="115"/>
    </row>
    <row r="69" spans="1:13">
      <c r="A69" s="115"/>
    </row>
    <row r="70" spans="1:13">
      <c r="A70" s="115"/>
    </row>
    <row r="71" spans="1:13">
      <c r="A71" s="115"/>
    </row>
    <row r="72" spans="1:13">
      <c r="A72" s="115"/>
    </row>
    <row r="73" spans="1:13">
      <c r="A73" s="115"/>
    </row>
    <row r="74" spans="1:13">
      <c r="A74" s="115"/>
    </row>
    <row r="75" spans="1:13" ht="20.25" customHeight="1">
      <c r="A75" s="115"/>
    </row>
    <row r="76" spans="1:13" ht="20.25" customHeight="1">
      <c r="A76" s="115"/>
    </row>
    <row r="77" spans="1:13" ht="20.25" customHeight="1">
      <c r="A77" s="115"/>
    </row>
    <row r="78" spans="1:13">
      <c r="A78" s="115"/>
    </row>
    <row r="79" spans="1:13">
      <c r="A79" s="115"/>
    </row>
    <row r="80" spans="1:13" ht="13.5" customHeight="1">
      <c r="A80" s="112" t="s">
        <v>203</v>
      </c>
      <c r="B80" s="113" t="s">
        <v>204</v>
      </c>
      <c r="C80" s="113"/>
      <c r="D80" s="113"/>
      <c r="E80" s="113"/>
      <c r="F80" s="113"/>
      <c r="G80" s="113"/>
      <c r="H80" s="113"/>
      <c r="I80" s="113"/>
      <c r="J80" s="113"/>
      <c r="K80" s="113"/>
    </row>
    <row r="81" spans="1:11" ht="13.5" customHeight="1">
      <c r="A81" s="112"/>
      <c r="B81" s="113"/>
      <c r="C81" s="113"/>
      <c r="D81" s="113"/>
      <c r="E81" s="113"/>
      <c r="F81" s="113"/>
      <c r="G81" s="113"/>
      <c r="H81" s="113"/>
      <c r="I81" s="113"/>
      <c r="J81" s="113"/>
      <c r="K81" s="113"/>
    </row>
    <row r="82" spans="1:11" ht="13.5" customHeight="1">
      <c r="A82" s="112"/>
      <c r="B82" s="113"/>
      <c r="C82" s="113"/>
      <c r="D82" s="113"/>
      <c r="E82" s="113"/>
      <c r="F82" s="113"/>
      <c r="G82" s="113"/>
      <c r="H82" s="113"/>
      <c r="I82" s="113"/>
      <c r="J82" s="113"/>
      <c r="K82" s="113"/>
    </row>
    <row r="83" spans="1:11" ht="13.5" customHeight="1">
      <c r="A83" s="112"/>
      <c r="B83" s="113"/>
      <c r="C83" s="113"/>
      <c r="D83" s="113"/>
      <c r="E83" s="113"/>
      <c r="F83" s="113"/>
      <c r="G83" s="113"/>
      <c r="H83" s="113"/>
      <c r="I83" s="113"/>
      <c r="J83" s="113"/>
      <c r="K83" s="113"/>
    </row>
    <row r="84" spans="1:11" ht="13.5" customHeight="1">
      <c r="A84" s="112"/>
      <c r="B84" s="113"/>
      <c r="C84" s="113"/>
      <c r="D84" s="113"/>
      <c r="E84" s="113"/>
      <c r="F84" s="113"/>
      <c r="G84" s="113"/>
      <c r="H84" s="113"/>
      <c r="I84" s="113"/>
      <c r="J84" s="113"/>
      <c r="K84" s="113"/>
    </row>
    <row r="85" spans="1:11" ht="13.5" customHeight="1">
      <c r="A85" s="112"/>
      <c r="B85" s="113"/>
      <c r="C85" s="113"/>
      <c r="D85" s="113"/>
      <c r="E85" s="113"/>
      <c r="F85" s="113"/>
      <c r="G85" s="113"/>
      <c r="H85" s="113"/>
      <c r="I85" s="113"/>
      <c r="J85" s="113"/>
      <c r="K85" s="113"/>
    </row>
    <row r="86" spans="1:11" ht="13.5" customHeight="1">
      <c r="A86" s="112"/>
      <c r="B86" s="113"/>
      <c r="C86" s="113"/>
      <c r="D86" s="113"/>
      <c r="E86" s="113"/>
      <c r="F86" s="113"/>
      <c r="G86" s="113"/>
      <c r="H86" s="113"/>
      <c r="I86" s="113"/>
      <c r="J86" s="113"/>
      <c r="K86" s="113"/>
    </row>
    <row r="87" spans="1:11" ht="13.5" customHeight="1">
      <c r="A87" s="112"/>
      <c r="B87" s="113"/>
      <c r="C87" s="113"/>
      <c r="D87" s="113"/>
      <c r="E87" s="113"/>
      <c r="F87" s="113"/>
      <c r="G87" s="113"/>
      <c r="H87" s="113"/>
      <c r="I87" s="113"/>
      <c r="J87" s="113"/>
      <c r="K87" s="113"/>
    </row>
    <row r="88" spans="1:11" ht="13.5" customHeight="1">
      <c r="A88" s="112"/>
      <c r="B88" s="113"/>
      <c r="C88" s="113"/>
      <c r="D88" s="113"/>
      <c r="E88" s="113"/>
      <c r="F88" s="113"/>
      <c r="G88" s="113"/>
      <c r="H88" s="113"/>
      <c r="I88" s="113"/>
      <c r="J88" s="113"/>
      <c r="K88" s="113"/>
    </row>
    <row r="89" spans="1:11" ht="13.5" customHeight="1">
      <c r="A89" s="112"/>
      <c r="B89" s="113"/>
      <c r="C89" s="113"/>
      <c r="D89" s="113"/>
      <c r="E89" s="113"/>
      <c r="F89" s="113"/>
      <c r="G89" s="113"/>
      <c r="H89" s="113"/>
      <c r="I89" s="113"/>
      <c r="J89" s="113"/>
      <c r="K89" s="113"/>
    </row>
    <row r="90" spans="1:11" ht="13.5" customHeight="1">
      <c r="A90" s="112"/>
      <c r="B90" s="113"/>
      <c r="C90" s="113"/>
      <c r="D90" s="113"/>
      <c r="E90" s="113"/>
      <c r="F90" s="113"/>
      <c r="G90" s="113"/>
      <c r="H90" s="113"/>
      <c r="I90" s="113"/>
      <c r="J90" s="113"/>
      <c r="K90" s="113"/>
    </row>
    <row r="91" spans="1:11" ht="13.5" customHeight="1">
      <c r="A91" s="112"/>
      <c r="B91" s="113"/>
      <c r="C91" s="113"/>
      <c r="D91" s="113"/>
      <c r="E91" s="113"/>
      <c r="F91" s="113"/>
      <c r="G91" s="113"/>
      <c r="H91" s="113"/>
      <c r="I91" s="113"/>
      <c r="J91" s="113"/>
      <c r="K91" s="113"/>
    </row>
    <row r="92" spans="1:11" ht="13.5" customHeight="1">
      <c r="A92" s="112"/>
      <c r="B92" s="113"/>
      <c r="C92" s="113"/>
      <c r="D92" s="113"/>
      <c r="E92" s="113"/>
      <c r="F92" s="113"/>
      <c r="G92" s="113"/>
      <c r="H92" s="113"/>
      <c r="I92" s="113"/>
      <c r="J92" s="113"/>
      <c r="K92" s="113"/>
    </row>
    <row r="93" spans="1:11" ht="13.5" customHeight="1">
      <c r="A93" s="112"/>
      <c r="B93" s="113"/>
      <c r="C93" s="113"/>
      <c r="D93" s="113"/>
      <c r="E93" s="113"/>
      <c r="F93" s="113"/>
      <c r="G93" s="113"/>
      <c r="H93" s="113"/>
      <c r="I93" s="113"/>
      <c r="J93" s="113"/>
      <c r="K93" s="113"/>
    </row>
    <row r="94" spans="1:11" ht="13.5" customHeight="1">
      <c r="A94" s="112"/>
      <c r="B94" s="113"/>
      <c r="C94" s="113"/>
      <c r="D94" s="113"/>
      <c r="E94" s="113"/>
      <c r="F94" s="113"/>
      <c r="G94" s="113"/>
      <c r="H94" s="113"/>
      <c r="I94" s="113"/>
      <c r="J94" s="113"/>
      <c r="K94" s="113"/>
    </row>
    <row r="95" spans="1:11" ht="13.5" customHeight="1">
      <c r="A95" s="112"/>
      <c r="B95" s="113"/>
      <c r="C95" s="113"/>
      <c r="D95" s="113"/>
      <c r="E95" s="113"/>
      <c r="F95" s="113"/>
      <c r="G95" s="113"/>
      <c r="H95" s="113"/>
      <c r="I95" s="113"/>
      <c r="J95" s="113"/>
      <c r="K95" s="113"/>
    </row>
    <row r="96" spans="1:11" ht="13.5" customHeight="1">
      <c r="A96" s="112"/>
      <c r="B96" s="113"/>
      <c r="C96" s="113"/>
      <c r="D96" s="113"/>
      <c r="E96" s="113"/>
      <c r="F96" s="113"/>
      <c r="G96" s="113"/>
      <c r="H96" s="113"/>
      <c r="I96" s="113"/>
      <c r="J96" s="113"/>
      <c r="K96" s="113"/>
    </row>
    <row r="97" spans="1:11" ht="13.5" customHeight="1">
      <c r="A97" s="112"/>
      <c r="B97" s="113"/>
      <c r="C97" s="113"/>
      <c r="D97" s="113"/>
      <c r="E97" s="113"/>
      <c r="F97" s="113"/>
      <c r="G97" s="113"/>
      <c r="H97" s="113"/>
      <c r="I97" s="113"/>
      <c r="J97" s="113"/>
      <c r="K97" s="113"/>
    </row>
    <row r="98" spans="1:11" ht="13.5" customHeight="1">
      <c r="A98" s="112"/>
      <c r="B98" s="113"/>
      <c r="C98" s="113"/>
      <c r="D98" s="113"/>
      <c r="E98" s="113"/>
      <c r="F98" s="113"/>
      <c r="G98" s="113"/>
      <c r="H98" s="113"/>
      <c r="I98" s="113"/>
      <c r="J98" s="113"/>
      <c r="K98" s="113"/>
    </row>
    <row r="99" spans="1:11" ht="13.5" customHeight="1">
      <c r="A99" s="112"/>
      <c r="B99" s="113"/>
      <c r="C99" s="113"/>
      <c r="D99" s="113"/>
      <c r="E99" s="113"/>
      <c r="F99" s="113"/>
      <c r="G99" s="113"/>
      <c r="H99" s="113"/>
      <c r="I99" s="113"/>
      <c r="J99" s="113"/>
      <c r="K99" s="113"/>
    </row>
    <row r="100" spans="1:11" ht="13.5" customHeight="1">
      <c r="A100" s="112"/>
      <c r="B100" s="113"/>
      <c r="C100" s="113"/>
      <c r="D100" s="113"/>
      <c r="E100" s="113"/>
      <c r="F100" s="113"/>
      <c r="G100" s="113"/>
      <c r="H100" s="113"/>
      <c r="I100" s="113"/>
      <c r="J100" s="113"/>
      <c r="K100" s="113"/>
    </row>
    <row r="101" spans="1:11" ht="13.5" customHeight="1">
      <c r="A101" s="112"/>
      <c r="B101" s="113"/>
      <c r="C101" s="113"/>
      <c r="D101" s="113"/>
      <c r="E101" s="113"/>
      <c r="F101" s="113"/>
      <c r="G101" s="113"/>
      <c r="H101" s="113"/>
      <c r="I101" s="113"/>
      <c r="J101" s="113"/>
      <c r="K101" s="113"/>
    </row>
    <row r="102" spans="1:11" ht="13.5" customHeight="1">
      <c r="A102" s="112"/>
      <c r="B102" s="113"/>
      <c r="C102" s="113"/>
      <c r="D102" s="113"/>
      <c r="E102" s="113"/>
      <c r="F102" s="113"/>
      <c r="G102" s="113"/>
      <c r="H102" s="113"/>
      <c r="I102" s="113"/>
      <c r="J102" s="113"/>
      <c r="K102" s="113"/>
    </row>
    <row r="103" spans="1:11" ht="13.5" customHeight="1">
      <c r="A103" s="112"/>
      <c r="B103" s="113"/>
      <c r="C103" s="113"/>
      <c r="D103" s="113"/>
      <c r="E103" s="113"/>
      <c r="F103" s="113"/>
      <c r="G103" s="113"/>
      <c r="H103" s="113"/>
      <c r="I103" s="113"/>
      <c r="J103" s="113"/>
      <c r="K103" s="113"/>
    </row>
    <row r="104" spans="1:11" ht="13.5" customHeight="1">
      <c r="A104" s="112"/>
      <c r="B104" s="113"/>
      <c r="C104" s="113"/>
      <c r="D104" s="113"/>
      <c r="E104" s="113"/>
      <c r="F104" s="113"/>
      <c r="G104" s="113"/>
      <c r="H104" s="113"/>
      <c r="I104" s="113"/>
      <c r="J104" s="113"/>
      <c r="K104" s="113"/>
    </row>
    <row r="105" spans="1:11" ht="13.5" customHeight="1">
      <c r="A105" s="112"/>
      <c r="B105" s="113"/>
      <c r="C105" s="113"/>
      <c r="D105" s="113"/>
      <c r="E105" s="113"/>
      <c r="F105" s="113"/>
      <c r="G105" s="113"/>
      <c r="H105" s="113"/>
      <c r="I105" s="113"/>
      <c r="J105" s="113"/>
      <c r="K105" s="113"/>
    </row>
    <row r="106" spans="1:11" ht="13.5" customHeight="1">
      <c r="A106" s="112"/>
      <c r="B106" s="113"/>
      <c r="C106" s="113"/>
      <c r="D106" s="113"/>
      <c r="E106" s="113"/>
      <c r="F106" s="113"/>
      <c r="G106" s="113"/>
      <c r="H106" s="113"/>
      <c r="I106" s="113"/>
      <c r="J106" s="113"/>
      <c r="K106" s="113"/>
    </row>
    <row r="107" spans="1:11" ht="13.5" customHeight="1">
      <c r="A107" s="112"/>
      <c r="B107" s="113"/>
      <c r="C107" s="113"/>
      <c r="D107" s="113"/>
      <c r="E107" s="113"/>
      <c r="F107" s="113"/>
      <c r="G107" s="113"/>
      <c r="H107" s="113"/>
      <c r="I107" s="113"/>
      <c r="J107" s="113"/>
      <c r="K107" s="113"/>
    </row>
    <row r="108" spans="1:11" ht="13.5" customHeight="1">
      <c r="A108" s="112"/>
      <c r="B108" s="113"/>
      <c r="C108" s="113"/>
      <c r="D108" s="113"/>
      <c r="E108" s="113"/>
      <c r="F108" s="113"/>
      <c r="G108" s="113"/>
      <c r="H108" s="113"/>
      <c r="I108" s="113"/>
      <c r="J108" s="113"/>
      <c r="K108" s="113"/>
    </row>
    <row r="109" spans="1:11" ht="13.5" customHeight="1">
      <c r="A109" s="112"/>
      <c r="B109" s="113"/>
      <c r="C109" s="113"/>
      <c r="D109" s="113"/>
      <c r="E109" s="113"/>
      <c r="F109" s="113"/>
      <c r="G109" s="113"/>
      <c r="H109" s="113"/>
      <c r="I109" s="113"/>
      <c r="J109" s="113"/>
      <c r="K109" s="113"/>
    </row>
    <row r="110" spans="1:11" ht="13.5" customHeight="1">
      <c r="A110" s="112"/>
      <c r="B110" s="113"/>
      <c r="C110" s="113"/>
      <c r="D110" s="113"/>
      <c r="E110" s="113"/>
      <c r="F110" s="113"/>
      <c r="G110" s="113"/>
      <c r="H110" s="113"/>
      <c r="I110" s="113"/>
      <c r="J110" s="113"/>
      <c r="K110" s="113"/>
    </row>
    <row r="111" spans="1:11" ht="13.5" customHeight="1">
      <c r="A111" s="112"/>
      <c r="B111" s="113"/>
      <c r="C111" s="113"/>
      <c r="D111" s="113"/>
      <c r="E111" s="113"/>
      <c r="F111" s="113"/>
      <c r="G111" s="113"/>
      <c r="H111" s="113"/>
      <c r="I111" s="113"/>
      <c r="J111" s="113"/>
      <c r="K111" s="113"/>
    </row>
    <row r="112" spans="1:11" ht="13.5" customHeight="1">
      <c r="A112" s="112"/>
      <c r="B112" s="113"/>
      <c r="C112" s="113"/>
      <c r="D112" s="113"/>
      <c r="E112" s="113"/>
      <c r="F112" s="113"/>
      <c r="G112" s="113"/>
      <c r="H112" s="113"/>
      <c r="I112" s="113"/>
      <c r="J112" s="113"/>
      <c r="K112" s="113"/>
    </row>
    <row r="113" spans="1:11" ht="13.5" customHeight="1">
      <c r="A113" s="112"/>
      <c r="B113" s="113"/>
      <c r="C113" s="113"/>
      <c r="D113" s="113"/>
      <c r="E113" s="113"/>
      <c r="F113" s="113"/>
      <c r="G113" s="113"/>
      <c r="H113" s="113"/>
      <c r="I113" s="113"/>
      <c r="J113" s="113"/>
      <c r="K113" s="113"/>
    </row>
    <row r="114" spans="1:11" ht="13.5" customHeight="1">
      <c r="A114" s="112"/>
      <c r="B114" s="113"/>
      <c r="C114" s="113"/>
      <c r="D114" s="113"/>
      <c r="E114" s="113"/>
      <c r="F114" s="113"/>
      <c r="G114" s="113"/>
      <c r="H114" s="113"/>
      <c r="I114" s="113"/>
      <c r="J114" s="113"/>
      <c r="K114" s="113"/>
    </row>
    <row r="115" spans="1:11" ht="13.5" customHeight="1">
      <c r="A115" s="112"/>
      <c r="B115" s="113"/>
      <c r="C115" s="113"/>
      <c r="D115" s="113"/>
      <c r="E115" s="113"/>
      <c r="F115" s="113"/>
      <c r="G115" s="113"/>
      <c r="H115" s="113"/>
      <c r="I115" s="113"/>
      <c r="J115" s="113"/>
      <c r="K115" s="113"/>
    </row>
    <row r="116" spans="1:11">
      <c r="A116" s="112"/>
      <c r="B116" s="113"/>
      <c r="C116" s="113"/>
      <c r="D116" s="113"/>
      <c r="E116" s="113"/>
      <c r="F116" s="113"/>
      <c r="G116" s="113"/>
      <c r="H116" s="113"/>
      <c r="I116" s="113"/>
      <c r="J116" s="113"/>
      <c r="K116" s="113"/>
    </row>
    <row r="117" spans="1:11">
      <c r="A117" s="112"/>
      <c r="B117" s="113"/>
      <c r="C117" s="113"/>
      <c r="D117" s="113"/>
      <c r="E117" s="113"/>
      <c r="F117" s="113"/>
      <c r="G117" s="113"/>
      <c r="H117" s="113"/>
      <c r="I117" s="113"/>
      <c r="J117" s="113"/>
      <c r="K117" s="113"/>
    </row>
    <row r="118" spans="1:11">
      <c r="A118" s="112"/>
      <c r="B118" s="113"/>
      <c r="C118" s="113"/>
      <c r="D118" s="113"/>
      <c r="E118" s="113"/>
      <c r="F118" s="113"/>
      <c r="G118" s="113"/>
      <c r="H118" s="113"/>
      <c r="I118" s="113"/>
      <c r="J118" s="113"/>
      <c r="K118" s="113"/>
    </row>
    <row r="119" spans="1:11">
      <c r="A119" s="112"/>
      <c r="B119" s="113"/>
      <c r="C119" s="113"/>
      <c r="D119" s="113"/>
      <c r="E119" s="113"/>
      <c r="F119" s="113"/>
      <c r="G119" s="113"/>
      <c r="H119" s="113"/>
      <c r="I119" s="113"/>
      <c r="J119" s="113"/>
      <c r="K119" s="113"/>
    </row>
    <row r="120" spans="1:11">
      <c r="A120" s="112"/>
      <c r="B120" s="113"/>
      <c r="C120" s="113"/>
      <c r="D120" s="113"/>
      <c r="E120" s="113"/>
      <c r="F120" s="113"/>
      <c r="G120" s="113"/>
      <c r="H120" s="113"/>
      <c r="I120" s="113"/>
      <c r="J120" s="113"/>
      <c r="K120" s="113"/>
    </row>
    <row r="121" spans="1:11">
      <c r="A121" s="112"/>
      <c r="B121" s="113"/>
      <c r="C121" s="113"/>
      <c r="D121" s="113"/>
      <c r="E121" s="113"/>
      <c r="F121" s="113"/>
      <c r="G121" s="113"/>
      <c r="H121" s="113"/>
      <c r="I121" s="113"/>
      <c r="J121" s="113"/>
      <c r="K121" s="113"/>
    </row>
    <row r="122" spans="1:11">
      <c r="A122" s="112"/>
      <c r="B122" s="113"/>
      <c r="C122" s="113"/>
      <c r="D122" s="113"/>
      <c r="E122" s="113"/>
      <c r="F122" s="113"/>
      <c r="G122" s="113"/>
      <c r="H122" s="113"/>
      <c r="I122" s="113"/>
      <c r="J122" s="113"/>
      <c r="K122" s="113"/>
    </row>
    <row r="123" spans="1:11">
      <c r="A123" s="112"/>
      <c r="B123" s="113"/>
      <c r="C123" s="113"/>
      <c r="D123" s="113"/>
      <c r="E123" s="113"/>
      <c r="F123" s="113"/>
      <c r="G123" s="113"/>
      <c r="H123" s="113"/>
      <c r="I123" s="113"/>
      <c r="J123" s="113"/>
      <c r="K123" s="113"/>
    </row>
    <row r="124" spans="1:11">
      <c r="A124" s="112"/>
      <c r="B124" s="113"/>
      <c r="C124" s="113"/>
      <c r="D124" s="113"/>
      <c r="E124" s="113"/>
      <c r="F124" s="113"/>
      <c r="G124" s="113"/>
      <c r="H124" s="113"/>
      <c r="I124" s="113"/>
      <c r="J124" s="113"/>
      <c r="K124" s="113"/>
    </row>
    <row r="125" spans="1:11">
      <c r="A125" s="112"/>
      <c r="B125" s="113"/>
      <c r="C125" s="113"/>
      <c r="D125" s="113"/>
      <c r="E125" s="113"/>
      <c r="F125" s="113"/>
      <c r="G125" s="113"/>
      <c r="H125" s="113"/>
      <c r="I125" s="113"/>
      <c r="J125" s="113"/>
      <c r="K125" s="113"/>
    </row>
    <row r="126" spans="1:11">
      <c r="A126" s="112"/>
    </row>
    <row r="127" spans="1:11">
      <c r="A127" s="112"/>
    </row>
  </sheetData>
  <mergeCells count="6">
    <mergeCell ref="A3:A25"/>
    <mergeCell ref="A26:A56"/>
    <mergeCell ref="B80:K125"/>
    <mergeCell ref="C64:M65"/>
    <mergeCell ref="A57:A79"/>
    <mergeCell ref="A80:A127"/>
  </mergeCells>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Z106"/>
  <sheetViews>
    <sheetView topLeftCell="A94" workbookViewId="0">
      <selection activeCell="A8" sqref="A8"/>
    </sheetView>
  </sheetViews>
  <sheetFormatPr defaultRowHeight="14.35"/>
  <cols>
    <col min="1" max="2" width="17.25" bestFit="1" customWidth="1"/>
    <col min="3" max="3" width="9" customWidth="1"/>
    <col min="4" max="4" width="10.4375" customWidth="1"/>
    <col min="5" max="5" width="17.25" customWidth="1"/>
    <col min="6" max="6" width="7.4375" customWidth="1"/>
    <col min="7" max="8" width="9" customWidth="1"/>
    <col min="9" max="9" width="11" customWidth="1"/>
    <col min="10" max="11" width="9" customWidth="1"/>
    <col min="12" max="12" width="7.4375" customWidth="1"/>
    <col min="13" max="15" width="9" customWidth="1"/>
    <col min="16" max="16" width="7.4375" customWidth="1"/>
    <col min="17" max="17" width="9" customWidth="1"/>
    <col min="18" max="18" width="21.375" bestFit="1" customWidth="1"/>
    <col min="19" max="19" width="9" customWidth="1"/>
    <col min="20" max="21" width="7.4375" customWidth="1"/>
    <col min="24" max="26" width="7.4375" customWidth="1"/>
  </cols>
  <sheetData>
    <row r="1" spans="1:26">
      <c r="A1" t="s">
        <v>7</v>
      </c>
      <c r="B1" t="s">
        <v>6</v>
      </c>
    </row>
    <row r="2" spans="1:26">
      <c r="A2" s="6" t="s">
        <v>16</v>
      </c>
      <c r="B2" s="6" t="str">
        <f>"004001001"</f>
        <v>004001001</v>
      </c>
      <c r="C2" s="5"/>
      <c r="D2" s="6"/>
      <c r="E2" s="6"/>
      <c r="F2" s="5"/>
      <c r="G2" s="5"/>
      <c r="H2" s="5"/>
      <c r="I2" s="5"/>
      <c r="J2" s="5"/>
      <c r="K2" s="5"/>
      <c r="L2" s="5"/>
      <c r="M2" s="5"/>
      <c r="N2" s="5"/>
      <c r="O2" s="5"/>
      <c r="P2" s="5"/>
      <c r="Q2" s="5"/>
      <c r="R2" s="5"/>
      <c r="S2" s="5"/>
      <c r="T2" s="5"/>
      <c r="U2" s="6"/>
      <c r="V2" s="6"/>
      <c r="W2" s="6"/>
      <c r="X2" s="6"/>
      <c r="Y2" s="6"/>
      <c r="Z2" s="6"/>
    </row>
    <row r="3" spans="1:26">
      <c r="A3" s="6" t="s">
        <v>17</v>
      </c>
      <c r="B3" s="6" t="str">
        <f>"004001002"</f>
        <v>004001002</v>
      </c>
      <c r="C3" s="6"/>
      <c r="D3" s="6"/>
      <c r="E3" s="6"/>
      <c r="F3" s="6"/>
      <c r="G3" s="6"/>
      <c r="H3" s="6"/>
      <c r="I3" s="6"/>
      <c r="J3" s="6"/>
      <c r="K3" s="6"/>
      <c r="L3" s="6"/>
      <c r="M3" s="6"/>
      <c r="N3" s="6"/>
      <c r="O3" s="6"/>
      <c r="P3" s="6"/>
      <c r="Q3" s="6"/>
      <c r="R3" s="6"/>
      <c r="S3" s="6"/>
      <c r="T3" s="6"/>
      <c r="U3" s="6"/>
      <c r="V3" s="6"/>
      <c r="W3" s="6"/>
      <c r="X3" s="6"/>
      <c r="Y3" s="6"/>
      <c r="Z3" s="6"/>
    </row>
    <row r="4" spans="1:26">
      <c r="A4" s="6" t="s">
        <v>18</v>
      </c>
      <c r="B4" s="6" t="str">
        <f>"004001003"</f>
        <v>004001003</v>
      </c>
      <c r="D4" s="6"/>
      <c r="E4" s="6"/>
    </row>
    <row r="5" spans="1:26">
      <c r="A5" s="6" t="s">
        <v>19</v>
      </c>
      <c r="B5" s="6" t="str">
        <f>"004001004"</f>
        <v>004001004</v>
      </c>
      <c r="D5" s="6"/>
      <c r="E5" s="6"/>
    </row>
    <row r="6" spans="1:26">
      <c r="A6" s="6" t="s">
        <v>20</v>
      </c>
      <c r="B6" s="6" t="str">
        <f>"004002001"</f>
        <v>004002001</v>
      </c>
      <c r="D6" s="6"/>
      <c r="E6" s="6"/>
    </row>
    <row r="7" spans="1:26">
      <c r="A7" s="6" t="s">
        <v>21</v>
      </c>
      <c r="B7" s="6" t="str">
        <f>"004002002"</f>
        <v>004002002</v>
      </c>
      <c r="D7" s="6"/>
      <c r="E7" s="6"/>
    </row>
    <row r="8" spans="1:26">
      <c r="A8" s="6" t="s">
        <v>22</v>
      </c>
      <c r="B8" s="6" t="str">
        <f>"004003001"</f>
        <v>004003001</v>
      </c>
      <c r="D8" s="6"/>
      <c r="E8" s="6"/>
    </row>
    <row r="9" spans="1:26">
      <c r="A9" s="6" t="s">
        <v>23</v>
      </c>
      <c r="B9" s="6" t="str">
        <f>"004003004"</f>
        <v>004003004</v>
      </c>
      <c r="D9" s="6"/>
      <c r="E9" s="6"/>
    </row>
    <row r="10" spans="1:26">
      <c r="A10" s="6" t="s">
        <v>24</v>
      </c>
      <c r="B10" s="6" t="str">
        <f>"004004001"</f>
        <v>004004001</v>
      </c>
      <c r="D10" s="6"/>
      <c r="E10" s="6"/>
    </row>
    <row r="11" spans="1:26">
      <c r="A11" s="6" t="s">
        <v>25</v>
      </c>
      <c r="B11" s="6" t="str">
        <f>"004004002"</f>
        <v>004004002</v>
      </c>
      <c r="D11" s="6"/>
      <c r="E11" s="6"/>
    </row>
    <row r="12" spans="1:26">
      <c r="A12" s="6" t="s">
        <v>26</v>
      </c>
      <c r="B12" s="6" t="str">
        <f>"004004003"</f>
        <v>004004003</v>
      </c>
      <c r="D12" s="6"/>
      <c r="E12" s="6"/>
    </row>
    <row r="13" spans="1:26">
      <c r="A13" s="6" t="s">
        <v>27</v>
      </c>
      <c r="B13" s="6" t="str">
        <f>"004004004"</f>
        <v>004004004</v>
      </c>
      <c r="D13" s="6"/>
      <c r="E13" s="6"/>
    </row>
    <row r="14" spans="1:26">
      <c r="A14" s="6" t="s">
        <v>28</v>
      </c>
      <c r="B14" s="6" t="str">
        <f>"004004005"</f>
        <v>004004005</v>
      </c>
      <c r="D14" s="6"/>
      <c r="E14" s="6"/>
    </row>
    <row r="15" spans="1:26">
      <c r="A15" s="6" t="s">
        <v>29</v>
      </c>
      <c r="B15" s="6" t="str">
        <f>"004005001"</f>
        <v>004005001</v>
      </c>
      <c r="D15" s="6"/>
      <c r="E15" s="6"/>
    </row>
    <row r="16" spans="1:26">
      <c r="A16" s="6" t="s">
        <v>30</v>
      </c>
      <c r="B16" s="6" t="str">
        <f>"004005002"</f>
        <v>004005002</v>
      </c>
      <c r="D16" s="6"/>
      <c r="E16" s="6"/>
    </row>
    <row r="17" spans="1:5">
      <c r="A17" s="6" t="s">
        <v>31</v>
      </c>
      <c r="B17" s="6" t="str">
        <f>"004006001"</f>
        <v>004006001</v>
      </c>
      <c r="D17" s="6"/>
      <c r="E17" s="6"/>
    </row>
    <row r="18" spans="1:5">
      <c r="A18" s="6" t="s">
        <v>32</v>
      </c>
      <c r="B18" s="6" t="str">
        <f>"004006002"</f>
        <v>004006002</v>
      </c>
      <c r="D18" s="6"/>
      <c r="E18" s="6"/>
    </row>
    <row r="19" spans="1:5">
      <c r="A19" s="6" t="s">
        <v>33</v>
      </c>
      <c r="B19" s="6" t="str">
        <f>"004006003"</f>
        <v>004006003</v>
      </c>
      <c r="D19" s="6"/>
      <c r="E19" s="6"/>
    </row>
    <row r="20" spans="1:5">
      <c r="A20" s="6" t="s">
        <v>34</v>
      </c>
      <c r="B20" s="6" t="str">
        <f>"004006004"</f>
        <v>004006004</v>
      </c>
      <c r="D20" s="6"/>
      <c r="E20" s="6"/>
    </row>
    <row r="21" spans="1:5">
      <c r="A21" s="6" t="s">
        <v>35</v>
      </c>
      <c r="B21" s="6" t="str">
        <f>"004006005"</f>
        <v>004006005</v>
      </c>
      <c r="D21" s="6"/>
      <c r="E21" s="6"/>
    </row>
    <row r="22" spans="1:5">
      <c r="A22" s="6" t="s">
        <v>36</v>
      </c>
      <c r="B22" s="6" t="str">
        <f>"004006006"</f>
        <v>004006006</v>
      </c>
      <c r="D22" s="6"/>
      <c r="E22" s="6"/>
    </row>
    <row r="23" spans="1:5">
      <c r="A23" s="6" t="s">
        <v>4</v>
      </c>
      <c r="B23" s="6" t="str">
        <f>"004007001"</f>
        <v>004007001</v>
      </c>
      <c r="D23" s="6"/>
      <c r="E23" s="6"/>
    </row>
    <row r="24" spans="1:5">
      <c r="A24" s="6" t="s">
        <v>37</v>
      </c>
      <c r="B24" s="6" t="str">
        <f>"004007002"</f>
        <v>004007002</v>
      </c>
      <c r="D24" s="6"/>
      <c r="E24" s="6"/>
    </row>
    <row r="25" spans="1:5">
      <c r="A25" s="6" t="s">
        <v>38</v>
      </c>
      <c r="B25" s="6" t="str">
        <f>"004008001"</f>
        <v>004008001</v>
      </c>
      <c r="D25" s="6"/>
      <c r="E25" s="6"/>
    </row>
    <row r="26" spans="1:5">
      <c r="A26" s="6" t="s">
        <v>39</v>
      </c>
      <c r="B26" s="6" t="str">
        <f>"004008002"</f>
        <v>004008002</v>
      </c>
      <c r="D26" s="6"/>
      <c r="E26" s="6"/>
    </row>
    <row r="27" spans="1:5">
      <c r="A27" s="6" t="s">
        <v>40</v>
      </c>
      <c r="B27" s="6" t="str">
        <f>"004008003"</f>
        <v>004008003</v>
      </c>
      <c r="D27" s="6"/>
      <c r="E27" s="6"/>
    </row>
    <row r="28" spans="1:5">
      <c r="A28" s="6" t="s">
        <v>41</v>
      </c>
      <c r="B28" s="6" t="str">
        <f>"004008004"</f>
        <v>004008004</v>
      </c>
      <c r="D28" s="6"/>
      <c r="E28" s="6"/>
    </row>
    <row r="29" spans="1:5">
      <c r="A29" s="6" t="s">
        <v>42</v>
      </c>
      <c r="B29" s="6" t="str">
        <f>"004009001"</f>
        <v>004009001</v>
      </c>
      <c r="D29" s="6"/>
      <c r="E29" s="6"/>
    </row>
    <row r="30" spans="1:5">
      <c r="A30" s="6" t="s">
        <v>43</v>
      </c>
      <c r="B30" s="6" t="str">
        <f>"004009002"</f>
        <v>004009002</v>
      </c>
      <c r="D30" s="6"/>
      <c r="E30" s="6"/>
    </row>
    <row r="31" spans="1:5">
      <c r="A31" s="6" t="s">
        <v>44</v>
      </c>
      <c r="B31" s="6" t="str">
        <f>"004009003"</f>
        <v>004009003</v>
      </c>
      <c r="D31" s="6"/>
      <c r="E31" s="6"/>
    </row>
    <row r="32" spans="1:5">
      <c r="A32" s="6" t="s">
        <v>45</v>
      </c>
      <c r="B32" s="6" t="str">
        <f>"004009004"</f>
        <v>004009004</v>
      </c>
      <c r="D32" s="6"/>
      <c r="E32" s="6"/>
    </row>
    <row r="33" spans="1:5">
      <c r="A33" s="6" t="s">
        <v>46</v>
      </c>
      <c r="B33" s="6" t="str">
        <f>"004010001"</f>
        <v>004010001</v>
      </c>
      <c r="D33" s="6"/>
      <c r="E33" s="6"/>
    </row>
    <row r="34" spans="1:5">
      <c r="A34" s="6" t="s">
        <v>47</v>
      </c>
      <c r="B34" s="6" t="str">
        <f>"004010002"</f>
        <v>004010002</v>
      </c>
      <c r="D34" s="6"/>
      <c r="E34" s="6"/>
    </row>
    <row r="35" spans="1:5">
      <c r="A35" s="6" t="s">
        <v>48</v>
      </c>
      <c r="B35" s="6" t="str">
        <f>"004010003"</f>
        <v>004010003</v>
      </c>
      <c r="D35" s="6"/>
      <c r="E35" s="6"/>
    </row>
    <row r="36" spans="1:5">
      <c r="A36" s="6" t="s">
        <v>49</v>
      </c>
      <c r="B36" s="6" t="str">
        <f>"004011001"</f>
        <v>004011001</v>
      </c>
      <c r="D36" s="6"/>
      <c r="E36" s="6"/>
    </row>
    <row r="37" spans="1:5">
      <c r="A37" s="6" t="s">
        <v>50</v>
      </c>
      <c r="B37" s="6" t="str">
        <f>"004011002"</f>
        <v>004011002</v>
      </c>
      <c r="D37" s="6"/>
      <c r="E37" s="6"/>
    </row>
    <row r="38" spans="1:5">
      <c r="A38" s="6" t="s">
        <v>51</v>
      </c>
      <c r="B38" s="6" t="str">
        <f>"004011003"</f>
        <v>004011003</v>
      </c>
      <c r="D38" s="6"/>
      <c r="E38" s="6"/>
    </row>
    <row r="39" spans="1:5">
      <c r="A39" s="6" t="s">
        <v>52</v>
      </c>
      <c r="B39" s="6" t="str">
        <f>"004011004"</f>
        <v>004011004</v>
      </c>
      <c r="D39" s="6"/>
      <c r="E39" s="6"/>
    </row>
    <row r="40" spans="1:5">
      <c r="A40" s="6" t="s">
        <v>53</v>
      </c>
      <c r="B40" s="6" t="str">
        <f>"004011005"</f>
        <v>004011005</v>
      </c>
      <c r="D40" s="6"/>
      <c r="E40" s="6"/>
    </row>
    <row r="41" spans="1:5">
      <c r="A41" s="6" t="s">
        <v>54</v>
      </c>
      <c r="B41" s="6" t="str">
        <f>"004012001"</f>
        <v>004012001</v>
      </c>
      <c r="D41" s="6"/>
      <c r="E41" s="6"/>
    </row>
    <row r="42" spans="1:5">
      <c r="A42" s="6" t="s">
        <v>55</v>
      </c>
      <c r="B42" s="6" t="str">
        <f>"004012002"</f>
        <v>004012002</v>
      </c>
      <c r="D42" s="6"/>
      <c r="E42" s="6"/>
    </row>
    <row r="43" spans="1:5">
      <c r="A43" s="6" t="s">
        <v>56</v>
      </c>
      <c r="B43" s="6" t="str">
        <f>"004012003"</f>
        <v>004012003</v>
      </c>
      <c r="D43" s="6"/>
      <c r="E43" s="6"/>
    </row>
    <row r="44" spans="1:5">
      <c r="A44" s="6" t="s">
        <v>57</v>
      </c>
      <c r="B44" s="6" t="str">
        <f>"004012004"</f>
        <v>004012004</v>
      </c>
      <c r="D44" s="6"/>
      <c r="E44" s="6"/>
    </row>
    <row r="45" spans="1:5">
      <c r="A45" s="6" t="s">
        <v>58</v>
      </c>
      <c r="B45" s="6" t="str">
        <f>"004013001"</f>
        <v>004013001</v>
      </c>
      <c r="D45" s="6"/>
      <c r="E45" s="6"/>
    </row>
    <row r="46" spans="1:5">
      <c r="A46" s="6" t="s">
        <v>59</v>
      </c>
      <c r="B46" s="6" t="str">
        <f>"004013002"</f>
        <v>004013002</v>
      </c>
      <c r="D46" s="6"/>
      <c r="E46" s="6"/>
    </row>
    <row r="47" spans="1:5">
      <c r="A47" s="6" t="s">
        <v>60</v>
      </c>
      <c r="B47" s="6" t="str">
        <f>"004013003"</f>
        <v>004013003</v>
      </c>
      <c r="D47" s="6"/>
      <c r="E47" s="6"/>
    </row>
    <row r="48" spans="1:5">
      <c r="A48" s="6" t="s">
        <v>61</v>
      </c>
      <c r="B48" s="6" t="str">
        <f>"004013004"</f>
        <v>004013004</v>
      </c>
      <c r="D48" s="6"/>
      <c r="E48" s="6"/>
    </row>
    <row r="49" spans="1:5">
      <c r="A49" s="6" t="s">
        <v>62</v>
      </c>
      <c r="B49" s="6" t="str">
        <f>"004013005"</f>
        <v>004013005</v>
      </c>
      <c r="D49" s="6"/>
      <c r="E49" s="6"/>
    </row>
    <row r="50" spans="1:5">
      <c r="A50" s="6" t="s">
        <v>63</v>
      </c>
      <c r="B50" s="6" t="str">
        <f>"004014001"</f>
        <v>004014001</v>
      </c>
      <c r="D50" s="6"/>
      <c r="E50" s="6"/>
    </row>
    <row r="51" spans="1:5">
      <c r="A51" s="6" t="s">
        <v>64</v>
      </c>
      <c r="B51" s="6" t="str">
        <f>"004014002"</f>
        <v>004014002</v>
      </c>
      <c r="D51" s="6"/>
      <c r="E51" s="6"/>
    </row>
    <row r="52" spans="1:5">
      <c r="A52" s="6" t="s">
        <v>65</v>
      </c>
      <c r="B52" s="6" t="str">
        <f>"004014003"</f>
        <v>004014003</v>
      </c>
      <c r="D52" s="6"/>
      <c r="E52" s="6"/>
    </row>
    <row r="53" spans="1:5">
      <c r="A53" s="6" t="s">
        <v>66</v>
      </c>
      <c r="B53" s="6" t="str">
        <f>"004014004"</f>
        <v>004014004</v>
      </c>
      <c r="D53" s="6"/>
      <c r="E53" s="6"/>
    </row>
    <row r="54" spans="1:5">
      <c r="A54" s="6" t="s">
        <v>67</v>
      </c>
      <c r="B54" s="6" t="str">
        <f>"004014005"</f>
        <v>004014005</v>
      </c>
      <c r="D54" s="6"/>
      <c r="E54" s="6"/>
    </row>
    <row r="55" spans="1:5">
      <c r="A55" s="6" t="s">
        <v>68</v>
      </c>
      <c r="B55" s="6" t="str">
        <f>"004014006"</f>
        <v>004014006</v>
      </c>
      <c r="D55" s="6"/>
      <c r="E55" s="6"/>
    </row>
    <row r="56" spans="1:5">
      <c r="A56" s="6" t="s">
        <v>69</v>
      </c>
      <c r="B56" s="6" t="str">
        <f>"004015001"</f>
        <v>004015001</v>
      </c>
      <c r="D56" s="6"/>
      <c r="E56" s="6"/>
    </row>
    <row r="57" spans="1:5">
      <c r="A57" s="6" t="s">
        <v>70</v>
      </c>
      <c r="B57" s="6" t="str">
        <f>"004015002"</f>
        <v>004015002</v>
      </c>
      <c r="D57" s="6"/>
      <c r="E57" s="6"/>
    </row>
    <row r="58" spans="1:5">
      <c r="A58" s="6" t="s">
        <v>71</v>
      </c>
      <c r="B58" s="6" t="str">
        <f>"004015003"</f>
        <v>004015003</v>
      </c>
      <c r="D58" s="6"/>
      <c r="E58" s="6"/>
    </row>
    <row r="59" spans="1:5">
      <c r="A59" s="6" t="s">
        <v>72</v>
      </c>
      <c r="B59" s="6" t="str">
        <f>"004015004"</f>
        <v>004015004</v>
      </c>
      <c r="D59" s="6"/>
      <c r="E59" s="6"/>
    </row>
    <row r="60" spans="1:5">
      <c r="A60" s="6" t="s">
        <v>73</v>
      </c>
      <c r="B60" s="6" t="str">
        <f>"004015005"</f>
        <v>004015005</v>
      </c>
      <c r="D60" s="6"/>
      <c r="E60" s="6"/>
    </row>
    <row r="61" spans="1:5">
      <c r="A61" s="6" t="s">
        <v>74</v>
      </c>
      <c r="B61" s="6" t="str">
        <f>"004016001"</f>
        <v>004016001</v>
      </c>
      <c r="D61" s="6"/>
      <c r="E61" s="6"/>
    </row>
    <row r="62" spans="1:5">
      <c r="A62" s="6" t="s">
        <v>75</v>
      </c>
      <c r="B62" s="6" t="str">
        <f>"004016002"</f>
        <v>004016002</v>
      </c>
      <c r="D62" s="6"/>
      <c r="E62" s="6"/>
    </row>
    <row r="63" spans="1:5">
      <c r="A63" s="6" t="s">
        <v>76</v>
      </c>
      <c r="B63" s="6" t="str">
        <f>"004016003"</f>
        <v>004016003</v>
      </c>
      <c r="D63" s="6"/>
      <c r="E63" s="6"/>
    </row>
    <row r="64" spans="1:5">
      <c r="A64" s="6" t="s">
        <v>77</v>
      </c>
      <c r="B64" s="6" t="str">
        <f>"004016004"</f>
        <v>004016004</v>
      </c>
      <c r="D64" s="6"/>
      <c r="E64" s="6"/>
    </row>
    <row r="65" spans="1:5">
      <c r="A65" s="6" t="s">
        <v>78</v>
      </c>
      <c r="B65" s="6" t="str">
        <f>"004016005"</f>
        <v>004016005</v>
      </c>
      <c r="D65" s="6"/>
      <c r="E65" s="6"/>
    </row>
    <row r="66" spans="1:5">
      <c r="A66" s="6" t="s">
        <v>79</v>
      </c>
      <c r="B66" s="6" t="str">
        <f>"004016006"</f>
        <v>004016006</v>
      </c>
      <c r="D66" s="6"/>
      <c r="E66" s="6"/>
    </row>
    <row r="67" spans="1:5">
      <c r="A67" s="6" t="s">
        <v>114</v>
      </c>
      <c r="B67" s="6" t="str">
        <f>"004017001"</f>
        <v>004017001</v>
      </c>
      <c r="D67" s="6"/>
      <c r="E67" s="6"/>
    </row>
    <row r="68" spans="1:5">
      <c r="A68" s="6" t="s">
        <v>115</v>
      </c>
      <c r="B68" s="6" t="str">
        <f>"004017002"</f>
        <v>004017002</v>
      </c>
      <c r="D68" s="6"/>
      <c r="E68" s="6"/>
    </row>
    <row r="69" spans="1:5">
      <c r="A69" s="6" t="s">
        <v>116</v>
      </c>
      <c r="B69" s="6" t="str">
        <f>"004017003"</f>
        <v>004017003</v>
      </c>
      <c r="D69" s="6"/>
      <c r="E69" s="6"/>
    </row>
    <row r="70" spans="1:5">
      <c r="A70" s="6" t="s">
        <v>117</v>
      </c>
      <c r="B70" s="6" t="str">
        <f>"004017004"</f>
        <v>004017004</v>
      </c>
      <c r="D70" s="6"/>
      <c r="E70" s="6"/>
    </row>
    <row r="71" spans="1:5">
      <c r="A71" s="6" t="s">
        <v>118</v>
      </c>
      <c r="B71" s="6" t="str">
        <f>"004017005"</f>
        <v>004017005</v>
      </c>
      <c r="D71" s="6"/>
      <c r="E71" s="6"/>
    </row>
    <row r="72" spans="1:5">
      <c r="A72" s="6" t="s">
        <v>80</v>
      </c>
      <c r="B72" s="6" t="str">
        <f>"004018001"</f>
        <v>004018001</v>
      </c>
      <c r="D72" s="6"/>
      <c r="E72" s="6"/>
    </row>
    <row r="73" spans="1:5">
      <c r="A73" s="6" t="s">
        <v>81</v>
      </c>
      <c r="B73" s="6" t="str">
        <f>"004018002"</f>
        <v>004018002</v>
      </c>
      <c r="D73" s="6"/>
      <c r="E73" s="6"/>
    </row>
    <row r="74" spans="1:5">
      <c r="A74" s="6" t="s">
        <v>82</v>
      </c>
      <c r="B74" s="6" t="str">
        <f>"004018003"</f>
        <v>004018003</v>
      </c>
      <c r="D74" s="6"/>
      <c r="E74" s="6"/>
    </row>
    <row r="75" spans="1:5">
      <c r="A75" s="6" t="s">
        <v>83</v>
      </c>
      <c r="B75" s="6" t="str">
        <f>"004018004"</f>
        <v>004018004</v>
      </c>
      <c r="D75" s="6"/>
      <c r="E75" s="6"/>
    </row>
    <row r="76" spans="1:5">
      <c r="A76" s="6" t="s">
        <v>84</v>
      </c>
      <c r="B76" s="6" t="str">
        <f>"004018005"</f>
        <v>004018005</v>
      </c>
      <c r="D76" s="6"/>
      <c r="E76" s="6"/>
    </row>
    <row r="77" spans="1:5">
      <c r="A77" s="6" t="s">
        <v>85</v>
      </c>
      <c r="B77" s="6" t="str">
        <f>"004018006"</f>
        <v>004018006</v>
      </c>
      <c r="D77" s="6"/>
      <c r="E77" s="6"/>
    </row>
    <row r="78" spans="1:5">
      <c r="A78" s="6" t="s">
        <v>86</v>
      </c>
      <c r="B78" s="6" t="str">
        <f>"004018007"</f>
        <v>004018007</v>
      </c>
      <c r="D78" s="6"/>
      <c r="E78" s="6"/>
    </row>
    <row r="79" spans="1:5">
      <c r="A79" s="6" t="s">
        <v>87</v>
      </c>
      <c r="B79" s="6" t="str">
        <f>"004019001"</f>
        <v>004019001</v>
      </c>
      <c r="D79" s="6"/>
      <c r="E79" s="6"/>
    </row>
    <row r="80" spans="1:5">
      <c r="A80" s="6" t="s">
        <v>88</v>
      </c>
      <c r="B80" s="6" t="str">
        <f>"004019002"</f>
        <v>004019002</v>
      </c>
      <c r="D80" s="6"/>
      <c r="E80" s="6"/>
    </row>
    <row r="81" spans="1:5">
      <c r="A81" s="6" t="s">
        <v>89</v>
      </c>
      <c r="B81" s="6" t="str">
        <f>"004019003"</f>
        <v>004019003</v>
      </c>
      <c r="D81" s="6"/>
      <c r="E81" s="6"/>
    </row>
    <row r="82" spans="1:5">
      <c r="A82" s="6" t="s">
        <v>90</v>
      </c>
      <c r="B82" s="6" t="str">
        <f>"004020001"</f>
        <v>004020001</v>
      </c>
      <c r="D82" s="6"/>
      <c r="E82" s="6"/>
    </row>
    <row r="83" spans="1:5">
      <c r="A83" s="6" t="s">
        <v>91</v>
      </c>
      <c r="B83" s="6" t="str">
        <f>"004020002"</f>
        <v>004020002</v>
      </c>
      <c r="D83" s="6"/>
      <c r="E83" s="6"/>
    </row>
    <row r="84" spans="1:5">
      <c r="A84" s="6" t="s">
        <v>92</v>
      </c>
      <c r="B84" s="6" t="str">
        <f>"004020003"</f>
        <v>004020003</v>
      </c>
      <c r="D84" s="6"/>
      <c r="E84" s="6"/>
    </row>
    <row r="85" spans="1:5">
      <c r="A85" s="6" t="s">
        <v>93</v>
      </c>
      <c r="B85" s="6" t="str">
        <f>"004021001"</f>
        <v>004021001</v>
      </c>
      <c r="D85" s="6"/>
      <c r="E85" s="6"/>
    </row>
    <row r="86" spans="1:5">
      <c r="A86" s="6" t="s">
        <v>94</v>
      </c>
      <c r="B86" s="6" t="str">
        <f>"004021002"</f>
        <v>004021002</v>
      </c>
      <c r="D86" s="6"/>
      <c r="E86" s="6"/>
    </row>
    <row r="87" spans="1:5">
      <c r="A87" s="6" t="s">
        <v>95</v>
      </c>
      <c r="B87" s="6" t="str">
        <f>"004021003"</f>
        <v>004021003</v>
      </c>
      <c r="D87" s="6"/>
      <c r="E87" s="6"/>
    </row>
    <row r="88" spans="1:5">
      <c r="A88" s="6" t="s">
        <v>96</v>
      </c>
      <c r="B88" s="6" t="str">
        <f>"004021004"</f>
        <v>004021004</v>
      </c>
      <c r="D88" s="6"/>
      <c r="E88" s="6"/>
    </row>
    <row r="89" spans="1:5">
      <c r="A89" s="6" t="s">
        <v>97</v>
      </c>
      <c r="B89" s="6" t="str">
        <f>"004021005"</f>
        <v>004021005</v>
      </c>
      <c r="D89" s="6"/>
      <c r="E89" s="6"/>
    </row>
    <row r="90" spans="1:5">
      <c r="A90" s="6" t="s">
        <v>98</v>
      </c>
      <c r="B90" s="6" t="str">
        <f>"004022001"</f>
        <v>004022001</v>
      </c>
      <c r="D90" s="6"/>
      <c r="E90" s="6"/>
    </row>
    <row r="91" spans="1:5">
      <c r="A91" s="6" t="s">
        <v>99</v>
      </c>
      <c r="B91" s="6" t="str">
        <f>"004022002"</f>
        <v>004022002</v>
      </c>
      <c r="D91" s="6"/>
      <c r="E91" s="6"/>
    </row>
    <row r="92" spans="1:5">
      <c r="A92" s="6" t="s">
        <v>100</v>
      </c>
      <c r="B92" s="6" t="str">
        <f>"004022003"</f>
        <v>004022003</v>
      </c>
      <c r="D92" s="6"/>
      <c r="E92" s="6"/>
    </row>
    <row r="93" spans="1:5">
      <c r="A93" s="6" t="s">
        <v>101</v>
      </c>
      <c r="B93" s="6" t="str">
        <f>"004022004"</f>
        <v>004022004</v>
      </c>
      <c r="D93" s="6"/>
      <c r="E93" s="6"/>
    </row>
    <row r="94" spans="1:5">
      <c r="A94" s="6" t="s">
        <v>102</v>
      </c>
      <c r="B94" s="6" t="str">
        <f>"004023001"</f>
        <v>004023001</v>
      </c>
      <c r="D94" s="6"/>
      <c r="E94" s="6"/>
    </row>
    <row r="95" spans="1:5">
      <c r="A95" s="6" t="s">
        <v>103</v>
      </c>
      <c r="B95" s="6" t="str">
        <f>"004023002"</f>
        <v>004023002</v>
      </c>
      <c r="D95" s="6"/>
      <c r="E95" s="6"/>
    </row>
    <row r="96" spans="1:5">
      <c r="A96" s="6" t="s">
        <v>104</v>
      </c>
      <c r="B96" s="6" t="str">
        <f>"004023003"</f>
        <v>004023003</v>
      </c>
      <c r="D96" s="6"/>
      <c r="E96" s="6"/>
    </row>
    <row r="97" spans="1:5">
      <c r="A97" s="6" t="s">
        <v>105</v>
      </c>
      <c r="B97" s="6" t="str">
        <f>"004023004"</f>
        <v>004023004</v>
      </c>
      <c r="D97" s="6"/>
      <c r="E97" s="6"/>
    </row>
    <row r="98" spans="1:5">
      <c r="A98" s="6" t="s">
        <v>106</v>
      </c>
      <c r="B98" s="6" t="str">
        <f>"004024001"</f>
        <v>004024001</v>
      </c>
      <c r="D98" s="6"/>
      <c r="E98" s="6"/>
    </row>
    <row r="99" spans="1:5">
      <c r="A99" s="6" t="s">
        <v>107</v>
      </c>
      <c r="B99" s="6" t="str">
        <f>"004024002"</f>
        <v>004024002</v>
      </c>
      <c r="D99" s="6"/>
      <c r="E99" s="6"/>
    </row>
    <row r="100" spans="1:5">
      <c r="A100" s="6" t="s">
        <v>108</v>
      </c>
      <c r="B100" s="6" t="str">
        <f>"004024003"</f>
        <v>004024003</v>
      </c>
      <c r="D100" s="6"/>
      <c r="E100" s="6"/>
    </row>
    <row r="101" spans="1:5">
      <c r="A101" s="6" t="s">
        <v>109</v>
      </c>
      <c r="B101" s="6" t="str">
        <f>"004024004"</f>
        <v>004024004</v>
      </c>
      <c r="D101" s="6"/>
      <c r="E101" s="6"/>
    </row>
    <row r="102" spans="1:5">
      <c r="A102" s="6" t="s">
        <v>110</v>
      </c>
      <c r="B102" s="6" t="str">
        <f>"004025001"</f>
        <v>004025001</v>
      </c>
      <c r="D102" s="6"/>
      <c r="E102" s="6"/>
    </row>
    <row r="103" spans="1:5">
      <c r="A103" s="6" t="s">
        <v>111</v>
      </c>
      <c r="B103" s="6" t="str">
        <f>"004025002"</f>
        <v>004025002</v>
      </c>
      <c r="D103" s="6"/>
      <c r="E103" s="6"/>
    </row>
    <row r="104" spans="1:5">
      <c r="A104" s="6" t="s">
        <v>112</v>
      </c>
      <c r="B104" s="6" t="str">
        <f>"004026001"</f>
        <v>004026001</v>
      </c>
      <c r="D104" s="6"/>
      <c r="E104" s="6"/>
    </row>
    <row r="105" spans="1:5">
      <c r="A105" s="6" t="s">
        <v>113</v>
      </c>
      <c r="B105" s="6" t="str">
        <f>"004026002"</f>
        <v>004026002</v>
      </c>
      <c r="D105" s="6"/>
      <c r="E105" s="6"/>
    </row>
    <row r="106" spans="1:5">
      <c r="A106" s="6" t="s">
        <v>5</v>
      </c>
      <c r="B106" s="6" t="str">
        <f>"004027001"</f>
        <v>004027001</v>
      </c>
      <c r="D106" s="6"/>
      <c r="E106" s="6"/>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首页</vt:lpstr>
      <vt:lpstr>数据速览</vt:lpstr>
      <vt:lpstr>偿债能力</vt:lpstr>
      <vt:lpstr>营运能力</vt:lpstr>
      <vt:lpstr>盈利能力</vt:lpstr>
      <vt:lpstr>说明</vt:lpstr>
      <vt:lpstr>其他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aaron</cp:lastModifiedBy>
  <dcterms:created xsi:type="dcterms:W3CDTF">2006-09-16T00:00:00Z</dcterms:created>
  <dcterms:modified xsi:type="dcterms:W3CDTF">2019-11-28T13:43:50Z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_Doc_Temp_ID">
    <vt:lpwstr>04266aa9</vt:lpwstr>
  </property>
</Properties>
</file>